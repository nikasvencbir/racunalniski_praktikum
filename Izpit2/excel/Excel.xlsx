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a\Documents\racunalniski_praktikum\Izpit2\excel\"/>
    </mc:Choice>
  </mc:AlternateContent>
  <xr:revisionPtr revIDLastSave="0" documentId="8_{763AB37D-D265-41B5-BAAF-853823A60C91}" xr6:coauthVersionLast="47" xr6:coauthVersionMax="47" xr10:uidLastSave="{00000000-0000-0000-0000-000000000000}"/>
  <bookViews>
    <workbookView xWindow="-108" yWindow="-108" windowWidth="23256" windowHeight="12456" xr2:uid="{F16712FE-FDAB-43E1-8658-6FA830F5F776}"/>
  </bookViews>
  <sheets>
    <sheet name="igre-en (2)" sheetId="2" r:id="rId1"/>
    <sheet name="igre-en" sheetId="1" r:id="rId2"/>
  </sheets>
  <definedNames>
    <definedName name="ExternalData_1" localSheetId="0" hidden="1">'igre-en (2)'!$A$1:$H$453</definedName>
  </definedNames>
  <calcPr calcId="0"/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0E2C3-A36B-4305-A79B-AAB00D9BDB88}" keepAlive="1" name="Poizvedba – igre-en" description="Povezava s poizvedbo »igre-en« v delovnem zvezku." type="5" refreshedVersion="8" background="1" saveData="1">
    <dbPr connection="Provider=Microsoft.Mashup.OleDb.1;Data Source=$Workbook$;Location=igre-en;Extended Properties=&quot;&quot;" command="SELECT * FROM [igre-en]"/>
  </connection>
</connections>
</file>

<file path=xl/sharedStrings.xml><?xml version="1.0" encoding="utf-8"?>
<sst xmlns="http://schemas.openxmlformats.org/spreadsheetml/2006/main" count="1831" uniqueCount="476">
  <si>
    <t>Name</t>
  </si>
  <si>
    <t>Year</t>
  </si>
  <si>
    <t>Min Players</t>
  </si>
  <si>
    <t>Max Players</t>
  </si>
  <si>
    <t>Play Time</t>
  </si>
  <si>
    <t>Rating</t>
  </si>
  <si>
    <t>Complexity</t>
  </si>
  <si>
    <t>Category</t>
  </si>
  <si>
    <t>Gloomhaven: Jaws of the Lion</t>
  </si>
  <si>
    <t>Strategy</t>
  </si>
  <si>
    <t>Gloomhaven</t>
  </si>
  <si>
    <t>Kingdom Death: Monster</t>
  </si>
  <si>
    <t>Thematic</t>
  </si>
  <si>
    <t>Brass: Birmingham</t>
  </si>
  <si>
    <t>Pandemic Legacy: Season 1</t>
  </si>
  <si>
    <t>Gaia Project</t>
  </si>
  <si>
    <t>Terraforming Mars</t>
  </si>
  <si>
    <t>Star Wars: Rebellion</t>
  </si>
  <si>
    <t>Nemesis</t>
  </si>
  <si>
    <t>Spirit Island</t>
  </si>
  <si>
    <t>Great Western Trail</t>
  </si>
  <si>
    <t>On Mars</t>
  </si>
  <si>
    <t>Twilight Struggle</t>
  </si>
  <si>
    <t>Maracaibo</t>
  </si>
  <si>
    <t>Scythe</t>
  </si>
  <si>
    <t>A Feast for Odin</t>
  </si>
  <si>
    <t>Lisboa</t>
  </si>
  <si>
    <t>Arkham Horror: The Card Game</t>
  </si>
  <si>
    <t>Customizable</t>
  </si>
  <si>
    <t>Brass: Lancashire</t>
  </si>
  <si>
    <t>Pandemic Legacy: Season 2</t>
  </si>
  <si>
    <t>The 7th Continent</t>
  </si>
  <si>
    <t>Food Chain Magnate</t>
  </si>
  <si>
    <t>Terra Mystica</t>
  </si>
  <si>
    <t>The Castles of Burgundy</t>
  </si>
  <si>
    <t>3.00</t>
  </si>
  <si>
    <t>Underwater Cities</t>
  </si>
  <si>
    <t>Concordia</t>
  </si>
  <si>
    <t>7 Wonders Duel</t>
  </si>
  <si>
    <t>Wingspan</t>
  </si>
  <si>
    <t>Family</t>
  </si>
  <si>
    <t>Mage Knight Board Game</t>
  </si>
  <si>
    <t>Anachrony</t>
  </si>
  <si>
    <t>4.00</t>
  </si>
  <si>
    <t>Root</t>
  </si>
  <si>
    <t>Fields of Arle</t>
  </si>
  <si>
    <t>OrlĂ©ans</t>
  </si>
  <si>
    <t>Viticulture Essential Edition</t>
  </si>
  <si>
    <t>Everdell</t>
  </si>
  <si>
    <t>Paladins of the West Kingdom</t>
  </si>
  <si>
    <t>Mechs vs. Minions</t>
  </si>
  <si>
    <t>Agricola (Revised Edition)</t>
  </si>
  <si>
    <t>The Isle of Cats</t>
  </si>
  <si>
    <t>The Gallerist</t>
  </si>
  <si>
    <t>Star Wars: Imperial Assault</t>
  </si>
  <si>
    <t>Caverna: The Cave Farmers</t>
  </si>
  <si>
    <t>Aeon's End</t>
  </si>
  <si>
    <t>Clans of Caledonia</t>
  </si>
  <si>
    <t>Blood Rage</t>
  </si>
  <si>
    <t>8.00</t>
  </si>
  <si>
    <t>Puerto Rico</t>
  </si>
  <si>
    <t>Forbidden Stars</t>
  </si>
  <si>
    <t>Teotihuacan: City of Gods</t>
  </si>
  <si>
    <t>Agricola</t>
  </si>
  <si>
    <t>Pandemic: Iberia</t>
  </si>
  <si>
    <t>Crokinole</t>
  </si>
  <si>
    <t>Tzolk'in: The Mayan Calendar</t>
  </si>
  <si>
    <t>Lorenzo il Magnifico</t>
  </si>
  <si>
    <t>Eclipse</t>
  </si>
  <si>
    <t>PARKS</t>
  </si>
  <si>
    <t>Rising Sun</t>
  </si>
  <si>
    <t>Mombasa</t>
  </si>
  <si>
    <t>The Voyages of Marco Polo</t>
  </si>
  <si>
    <t>Star Realms: Colony Wars</t>
  </si>
  <si>
    <t>Android: Netrunner</t>
  </si>
  <si>
    <t>Le Havre</t>
  </si>
  <si>
    <t>Xia: Legends of a Drift System</t>
  </si>
  <si>
    <t>Power Grid</t>
  </si>
  <si>
    <t>Grand Austria Hotel</t>
  </si>
  <si>
    <t>Dominant Species</t>
  </si>
  <si>
    <t>Yokohama</t>
  </si>
  <si>
    <t>Horrified</t>
  </si>
  <si>
    <t>Architects of the West Kingdom</t>
  </si>
  <si>
    <t>Azul: Summer Pavilion</t>
  </si>
  <si>
    <t>Abstract</t>
  </si>
  <si>
    <t>Azul</t>
  </si>
  <si>
    <t>The Quacks of Quedlinburg</t>
  </si>
  <si>
    <t>Eldritch Horror</t>
  </si>
  <si>
    <t>Near and Far</t>
  </si>
  <si>
    <t>Chronicles of Crime</t>
  </si>
  <si>
    <t>Res Arcana</t>
  </si>
  <si>
    <t>Keyflower</t>
  </si>
  <si>
    <t>Inis</t>
  </si>
  <si>
    <t>Raiders of the North Sea</t>
  </si>
  <si>
    <t>Decrypto</t>
  </si>
  <si>
    <t>Party</t>
  </si>
  <si>
    <t>Commands &amp; Colors: Ancients</t>
  </si>
  <si>
    <t>Wargames</t>
  </si>
  <si>
    <t>Five Tribes</t>
  </si>
  <si>
    <t>Champions of Midgard</t>
  </si>
  <si>
    <t>Russian Railroads</t>
  </si>
  <si>
    <t>War of the Ring</t>
  </si>
  <si>
    <t>Caylus</t>
  </si>
  <si>
    <t>Race for the Galaxy</t>
  </si>
  <si>
    <t>Cartographers</t>
  </si>
  <si>
    <t>Trajan</t>
  </si>
  <si>
    <t>Troyes</t>
  </si>
  <si>
    <t>Lords of Waterdeep</t>
  </si>
  <si>
    <t>7 Wonders</t>
  </si>
  <si>
    <t>El Grande</t>
  </si>
  <si>
    <t>Star Wars: Outer Rim</t>
  </si>
  <si>
    <t>Dominion: Intrigue</t>
  </si>
  <si>
    <t>Dinosaur Island</t>
  </si>
  <si>
    <t>Kemet</t>
  </si>
  <si>
    <t>Century: Golem Edition</t>
  </si>
  <si>
    <t>Arcadia Quest</t>
  </si>
  <si>
    <t>Ora et Labora</t>
  </si>
  <si>
    <t>Rajas of the Ganges</t>
  </si>
  <si>
    <t>Tigris &amp; Euphrates</t>
  </si>
  <si>
    <t>Railways of the World</t>
  </si>
  <si>
    <t>Coimbra</t>
  </si>
  <si>
    <t>Zombicide: Black Plague</t>
  </si>
  <si>
    <t>Chaos in the Old World</t>
  </si>
  <si>
    <t>Roll for the Galaxy</t>
  </si>
  <si>
    <t>Alchemists</t>
  </si>
  <si>
    <t>La Granja</t>
  </si>
  <si>
    <t>Western Legends</t>
  </si>
  <si>
    <t>Patchwork</t>
  </si>
  <si>
    <t>Dead of Winter: The Long Night</t>
  </si>
  <si>
    <t>Hansa Teutonica</t>
  </si>
  <si>
    <t>That's Pretty Clever!</t>
  </si>
  <si>
    <t>Mage Wars Arena</t>
  </si>
  <si>
    <t>Nations</t>
  </si>
  <si>
    <t>Targi</t>
  </si>
  <si>
    <t>Go</t>
  </si>
  <si>
    <t>The Taverns of Tiefenthal</t>
  </si>
  <si>
    <t>Runewars</t>
  </si>
  <si>
    <t>Evolution: Climate</t>
  </si>
  <si>
    <t>Codenames</t>
  </si>
  <si>
    <t>Dominion</t>
  </si>
  <si>
    <t>The Quest for El Dorado</t>
  </si>
  <si>
    <t>Welcome To...</t>
  </si>
  <si>
    <t>Pandemic</t>
  </si>
  <si>
    <t>Hero Realms</t>
  </si>
  <si>
    <t>Just One</t>
  </si>
  <si>
    <t>Space Base</t>
  </si>
  <si>
    <t>Steam</t>
  </si>
  <si>
    <t>The Resistance: Avalon</t>
  </si>
  <si>
    <t>Star Realms</t>
  </si>
  <si>
    <t>Istanbul</t>
  </si>
  <si>
    <t>Tichu</t>
  </si>
  <si>
    <t>Goa</t>
  </si>
  <si>
    <t>Codenames: Duet</t>
  </si>
  <si>
    <t>Stuffed Fables</t>
  </si>
  <si>
    <t>Captain Sonar</t>
  </si>
  <si>
    <t>Secret Hitler</t>
  </si>
  <si>
    <t>Stone Age</t>
  </si>
  <si>
    <t>Castles of Mad King Ludwig</t>
  </si>
  <si>
    <t>Flamme Rouge</t>
  </si>
  <si>
    <t>Memoir '44</t>
  </si>
  <si>
    <t>Bora Bora</t>
  </si>
  <si>
    <t>Ticket to Ride: Europe</t>
  </si>
  <si>
    <t>T.I.M.E Stories</t>
  </si>
  <si>
    <t>Cosmic Encounter</t>
  </si>
  <si>
    <t>Burgle Bros.</t>
  </si>
  <si>
    <t>Hanamikoji</t>
  </si>
  <si>
    <t>Shogun</t>
  </si>
  <si>
    <t>The Princes of Florence</t>
  </si>
  <si>
    <t>Roll Player</t>
  </si>
  <si>
    <t>Sagrada</t>
  </si>
  <si>
    <t>Village</t>
  </si>
  <si>
    <t>Summoner Wars: Master Set</t>
  </si>
  <si>
    <t>Magic: The Gathering</t>
  </si>
  <si>
    <t>Cyclades</t>
  </si>
  <si>
    <t>Suburbia</t>
  </si>
  <si>
    <t>Cryptid</t>
  </si>
  <si>
    <t>Jaipur</t>
  </si>
  <si>
    <t>Deception: Murder in Hong Kong</t>
  </si>
  <si>
    <t>Civilization</t>
  </si>
  <si>
    <t>Lewis &amp; Clark: The Expedition</t>
  </si>
  <si>
    <t>Glory to Rome</t>
  </si>
  <si>
    <t>Tapestry</t>
  </si>
  <si>
    <t>Santorini</t>
  </si>
  <si>
    <t>Ethnos</t>
  </si>
  <si>
    <t>Dungeon Petz</t>
  </si>
  <si>
    <t>Ra</t>
  </si>
  <si>
    <t>Harry Potter: Hogwarts Battle</t>
  </si>
  <si>
    <t>Sushi Go Party!</t>
  </si>
  <si>
    <t>Bunny Kingdom</t>
  </si>
  <si>
    <t>Dixit: Odyssey</t>
  </si>
  <si>
    <t>Glass Road</t>
  </si>
  <si>
    <t>Splendor</t>
  </si>
  <si>
    <t>Samurai</t>
  </si>
  <si>
    <t>Gizmos</t>
  </si>
  <si>
    <t>Space Alert</t>
  </si>
  <si>
    <t>Above and Below</t>
  </si>
  <si>
    <t>Bruges</t>
  </si>
  <si>
    <t>Azul: Stained Glass of Sintra</t>
  </si>
  <si>
    <t>Ticket to Ride</t>
  </si>
  <si>
    <t>Battle Line</t>
  </si>
  <si>
    <t>Carcassonne</t>
  </si>
  <si>
    <t>Risk Legacy</t>
  </si>
  <si>
    <t>Ticket to Ride: MĂ¤rklin</t>
  </si>
  <si>
    <t>Merchants &amp; Marauders</t>
  </si>
  <si>
    <t>Imperial Settlers</t>
  </si>
  <si>
    <t>Alien Frontiers</t>
  </si>
  <si>
    <t>Galaxy Trucker</t>
  </si>
  <si>
    <t>Seasons</t>
  </si>
  <si>
    <t>Pandemic: Reign of Cthulhu</t>
  </si>
  <si>
    <t>Letters from Whitechapel</t>
  </si>
  <si>
    <t>Neuroshima Hex! 3.0</t>
  </si>
  <si>
    <t>Telestrations</t>
  </si>
  <si>
    <t>Modern Art</t>
  </si>
  <si>
    <t>Onitama</t>
  </si>
  <si>
    <t>Firefly: The Game</t>
  </si>
  <si>
    <t>Dungeon Lords</t>
  </si>
  <si>
    <t>Arboretum</t>
  </si>
  <si>
    <t>At the Gates of Loyang</t>
  </si>
  <si>
    <t>Charterstone</t>
  </si>
  <si>
    <t>Century: Spice Road</t>
  </si>
  <si>
    <t>Tiny Epic Galaxies</t>
  </si>
  <si>
    <t>The Manhattan Project</t>
  </si>
  <si>
    <t>BattleLore</t>
  </si>
  <si>
    <t>Tiny Towns</t>
  </si>
  <si>
    <t>BĂ¤renpark</t>
  </si>
  <si>
    <t>Downforce</t>
  </si>
  <si>
    <t>Kingdomino</t>
  </si>
  <si>
    <t>Notre Dame</t>
  </si>
  <si>
    <t>Acquire</t>
  </si>
  <si>
    <t>Tikal</t>
  </si>
  <si>
    <t>Point Salad</t>
  </si>
  <si>
    <t>Chinatown</t>
  </si>
  <si>
    <t>Raptor</t>
  </si>
  <si>
    <t>Abyss</t>
  </si>
  <si>
    <t>Ghost Stories</t>
  </si>
  <si>
    <t>Hive</t>
  </si>
  <si>
    <t>Survive: Escape from Atlantis!</t>
  </si>
  <si>
    <t>Schotten Totten</t>
  </si>
  <si>
    <t>Citadels</t>
  </si>
  <si>
    <t>Descent: Journeys in the Dark</t>
  </si>
  <si>
    <t>Pandemic: The Cure</t>
  </si>
  <si>
    <t>Mice and Mystics</t>
  </si>
  <si>
    <t>Saint Petersburg</t>
  </si>
  <si>
    <t>Mystic Vale</t>
  </si>
  <si>
    <t>Mysterium</t>
  </si>
  <si>
    <t>The Pillars of the Earth</t>
  </si>
  <si>
    <t>Mansions of Madness</t>
  </si>
  <si>
    <t>Quadropolis</t>
  </si>
  <si>
    <t>Dice Forge</t>
  </si>
  <si>
    <t>Fresco</t>
  </si>
  <si>
    <t>KeyForge: Call of the Archons</t>
  </si>
  <si>
    <t>The Resistance</t>
  </si>
  <si>
    <t>AquaSphere</t>
  </si>
  <si>
    <t>Small World Underground</t>
  </si>
  <si>
    <t>Takenoko</t>
  </si>
  <si>
    <t>Codenames: Pictures</t>
  </si>
  <si>
    <t>Arkham Horror</t>
  </si>
  <si>
    <t>Queendomino</t>
  </si>
  <si>
    <t>Small World</t>
  </si>
  <si>
    <t>Dixit</t>
  </si>
  <si>
    <t>Smash Up: Awesome Level 9000</t>
  </si>
  <si>
    <t>The Fox in the Forest</t>
  </si>
  <si>
    <t>Innovation</t>
  </si>
  <si>
    <t>PitchCar</t>
  </si>
  <si>
    <t>San Juan</t>
  </si>
  <si>
    <t>Discworld: Ankh-Morpork</t>
  </si>
  <si>
    <t>Love Letter</t>
  </si>
  <si>
    <t>Elysium</t>
  </si>
  <si>
    <t>Sentinels of the Multiverse</t>
  </si>
  <si>
    <t>Century: Eastern Wonders</t>
  </si>
  <si>
    <t>Nexus Ops</t>
  </si>
  <si>
    <t>For Sale</t>
  </si>
  <si>
    <t>Legends of Andor</t>
  </si>
  <si>
    <t>Karuba</t>
  </si>
  <si>
    <t>Skull</t>
  </si>
  <si>
    <t>Tales of the Arabian Nights</t>
  </si>
  <si>
    <t>Flash Point: Fire Rescue</t>
  </si>
  <si>
    <t>The Grizzled</t>
  </si>
  <si>
    <t>Imhotep</t>
  </si>
  <si>
    <t>Star Wars: The Card Game</t>
  </si>
  <si>
    <t>Caverna: Cave vs Cave</t>
  </si>
  <si>
    <t>Broom Service</t>
  </si>
  <si>
    <t>Kingsburg</t>
  </si>
  <si>
    <t>Last Will</t>
  </si>
  <si>
    <t>Biblios</t>
  </si>
  <si>
    <t>King of Tokyo</t>
  </si>
  <si>
    <t>Lost Cities</t>
  </si>
  <si>
    <t>Paperback</t>
  </si>
  <si>
    <t>Vast: The Crystal Caverns</t>
  </si>
  <si>
    <t>Libertalia</t>
  </si>
  <si>
    <t>Zombicide</t>
  </si>
  <si>
    <t>Potion Explosion</t>
  </si>
  <si>
    <t>Catan</t>
  </si>
  <si>
    <t>One Night Ultimate Werewolf</t>
  </si>
  <si>
    <t>Sheriff of Nottingham</t>
  </si>
  <si>
    <t>Forbidden Desert</t>
  </si>
  <si>
    <t>Port Royal</t>
  </si>
  <si>
    <t>HeroQuest</t>
  </si>
  <si>
    <t>Friday</t>
  </si>
  <si>
    <t>Thebes</t>
  </si>
  <si>
    <t>Photosynthesis</t>
  </si>
  <si>
    <t>Evolution</t>
  </si>
  <si>
    <t>Las Vegas</t>
  </si>
  <si>
    <t>Chess</t>
  </si>
  <si>
    <t>Shadows over Camelot</t>
  </si>
  <si>
    <t>Colt Express</t>
  </si>
  <si>
    <t>Ingenious</t>
  </si>
  <si>
    <t>Torres</t>
  </si>
  <si>
    <t>Tobago</t>
  </si>
  <si>
    <t>Carcassonne: The Castle</t>
  </si>
  <si>
    <t>Thurn and Taxis</t>
  </si>
  <si>
    <t>Kanagawa</t>
  </si>
  <si>
    <t>Cacao</t>
  </si>
  <si>
    <t>Onirim (Second Edition)</t>
  </si>
  <si>
    <t>RoboRally</t>
  </si>
  <si>
    <t>Hanabi</t>
  </si>
  <si>
    <t>Through the Desert</t>
  </si>
  <si>
    <t>One Deck Dungeon</t>
  </si>
  <si>
    <t>Betrayal at House on the Hill</t>
  </si>
  <si>
    <t>XCOM: The Board Game</t>
  </si>
  <si>
    <t>Disney Villainous</t>
  </si>
  <si>
    <t>Tiny Epic Quest</t>
  </si>
  <si>
    <t>Jamaica</t>
  </si>
  <si>
    <t>FUSE</t>
  </si>
  <si>
    <t>DC Comics Deck-Building Game</t>
  </si>
  <si>
    <t>2.00</t>
  </si>
  <si>
    <t>5-Minute Dungeon</t>
  </si>
  <si>
    <t>Eminent Domain</t>
  </si>
  <si>
    <t>High Society</t>
  </si>
  <si>
    <t>Magic Maze</t>
  </si>
  <si>
    <t>No Thanks!</t>
  </si>
  <si>
    <t>Sushi Go!</t>
  </si>
  <si>
    <t>Camel Up</t>
  </si>
  <si>
    <t>Cribbage</t>
  </si>
  <si>
    <t>Diplomacy</t>
  </si>
  <si>
    <t>Bohnanza</t>
  </si>
  <si>
    <t>Ascension: Deckbuilding Game</t>
  </si>
  <si>
    <t>Between Two Cities</t>
  </si>
  <si>
    <t>Tiny Epic Zombies</t>
  </si>
  <si>
    <t>Mint Works</t>
  </si>
  <si>
    <t>Alhambra</t>
  </si>
  <si>
    <t>Formula D</t>
  </si>
  <si>
    <t>Not Alone</t>
  </si>
  <si>
    <t>Oh My Goods!</t>
  </si>
  <si>
    <t>Mr. Jack</t>
  </si>
  <si>
    <t>Coup</t>
  </si>
  <si>
    <t>Morels</t>
  </si>
  <si>
    <t>7.00</t>
  </si>
  <si>
    <t>Deep Sea Adventure</t>
  </si>
  <si>
    <t>Tokaido</t>
  </si>
  <si>
    <t>Rivals for Catan</t>
  </si>
  <si>
    <t>Elder Sign</t>
  </si>
  <si>
    <t>Celestia</t>
  </si>
  <si>
    <t>Coloretto</t>
  </si>
  <si>
    <t>King of New York</t>
  </si>
  <si>
    <t>Kingdom Builder</t>
  </si>
  <si>
    <t>BANG! The Dice Game</t>
  </si>
  <si>
    <t>Flick 'em Up!</t>
  </si>
  <si>
    <t>Fog of Love</t>
  </si>
  <si>
    <t>Rhino Hero</t>
  </si>
  <si>
    <t>Children's</t>
  </si>
  <si>
    <t>Thunderstone</t>
  </si>
  <si>
    <t>Fallout</t>
  </si>
  <si>
    <t>Wits &amp; Wagers</t>
  </si>
  <si>
    <t>Wizard</t>
  </si>
  <si>
    <t>Lanterns: The Harvest Festival</t>
  </si>
  <si>
    <t>6 nimmt!</t>
  </si>
  <si>
    <t>Red7</t>
  </si>
  <si>
    <t>Cottage Garden</t>
  </si>
  <si>
    <t>The Mind</t>
  </si>
  <si>
    <t>Mr. Jack Pocket</t>
  </si>
  <si>
    <t>Perudo</t>
  </si>
  <si>
    <t>Ca$h 'n Guns (Second Edition)</t>
  </si>
  <si>
    <t>Runebound: Second Edition</t>
  </si>
  <si>
    <t>Spyfall</t>
  </si>
  <si>
    <t>Blokus</t>
  </si>
  <si>
    <t>Qwixx</t>
  </si>
  <si>
    <t>Terror in Meeple City</t>
  </si>
  <si>
    <t>Can't Stop</t>
  </si>
  <si>
    <t>Condottiere</t>
  </si>
  <si>
    <t>Zooloretto</t>
  </si>
  <si>
    <t>ICECOOL</t>
  </si>
  <si>
    <t>Animal Upon Animal</t>
  </si>
  <si>
    <t>Concept</t>
  </si>
  <si>
    <t>Diamant</t>
  </si>
  <si>
    <t>Forbidden Island</t>
  </si>
  <si>
    <t>Loopin' Louie</t>
  </si>
  <si>
    <t>Qwirkle</t>
  </si>
  <si>
    <t>Quarriors!</t>
  </si>
  <si>
    <t>The Lord of the Rings</t>
  </si>
  <si>
    <t>Smash Up</t>
  </si>
  <si>
    <t>Fairy Tale</t>
  </si>
  <si>
    <t>Catan Card Game</t>
  </si>
  <si>
    <t>Timeline: Inventions</t>
  </si>
  <si>
    <t>Cockroach Poker</t>
  </si>
  <si>
    <t>Ghost Blitz</t>
  </si>
  <si>
    <t>The Game</t>
  </si>
  <si>
    <t>Hey, That's My Fish!</t>
  </si>
  <si>
    <t>Risk 2210 A.D.</t>
  </si>
  <si>
    <t>Tiny Epic Western</t>
  </si>
  <si>
    <t>Tsuro</t>
  </si>
  <si>
    <t>Tides of Time</t>
  </si>
  <si>
    <t>Castle Panic</t>
  </si>
  <si>
    <t>Machi Koro</t>
  </si>
  <si>
    <t>Spot it!</t>
  </si>
  <si>
    <t>Kahuna</t>
  </si>
  <si>
    <t>Mascarade</t>
  </si>
  <si>
    <t>Welcome to the Dungeon</t>
  </si>
  <si>
    <t>Tiny Epic Kingdoms</t>
  </si>
  <si>
    <t>Saboteur</t>
  </si>
  <si>
    <t>Pirate's Cove</t>
  </si>
  <si>
    <t>The Red Dragon Inn</t>
  </si>
  <si>
    <t>The Great Dalmuti</t>
  </si>
  <si>
    <t>Axis &amp; Allies</t>
  </si>
  <si>
    <t>Pickomino</t>
  </si>
  <si>
    <t>Tsuro of the Seas</t>
  </si>
  <si>
    <t>Backgammon</t>
  </si>
  <si>
    <t>Guillotine</t>
  </si>
  <si>
    <t>Talisman (Revised 4th Edition)</t>
  </si>
  <si>
    <t>Scotland Yard</t>
  </si>
  <si>
    <t>BANG!</t>
  </si>
  <si>
    <t>Jungle Speed</t>
  </si>
  <si>
    <t>SET</t>
  </si>
  <si>
    <t>Epic Card Game</t>
  </si>
  <si>
    <t>Joking Hazard</t>
  </si>
  <si>
    <t>Labyrinth</t>
  </si>
  <si>
    <t>Pit</t>
  </si>
  <si>
    <t>Rummikub</t>
  </si>
  <si>
    <t>Bananagrams</t>
  </si>
  <si>
    <t>Star Fluxx</t>
  </si>
  <si>
    <t>Gloom</t>
  </si>
  <si>
    <t>Unstable Unicorns</t>
  </si>
  <si>
    <t>Red November</t>
  </si>
  <si>
    <t>Loot</t>
  </si>
  <si>
    <t>Monopoly Deal Card Game</t>
  </si>
  <si>
    <t>Taboo</t>
  </si>
  <si>
    <t>Scrabble</t>
  </si>
  <si>
    <t>Exploding Kittens: NSFW Deck</t>
  </si>
  <si>
    <t>Zombie Dice</t>
  </si>
  <si>
    <t>Boggle</t>
  </si>
  <si>
    <t>Munchkin Cthulhu</t>
  </si>
  <si>
    <t>Scattergories</t>
  </si>
  <si>
    <t>Kill Doctor Lucky</t>
  </si>
  <si>
    <t>Get Bit!</t>
  </si>
  <si>
    <t>Dungeon Roll</t>
  </si>
  <si>
    <t>Othello</t>
  </si>
  <si>
    <t>Stratego</t>
  </si>
  <si>
    <t>Monty Python Fluxx</t>
  </si>
  <si>
    <t>Exploding Kittens</t>
  </si>
  <si>
    <t>Sequence</t>
  </si>
  <si>
    <t>Zombie Fluxx</t>
  </si>
  <si>
    <t>Kalah</t>
  </si>
  <si>
    <t>Cards Against Humanity</t>
  </si>
  <si>
    <t>Munchkin</t>
  </si>
  <si>
    <t>Pictionary</t>
  </si>
  <si>
    <t>Apples to Apples</t>
  </si>
  <si>
    <t>Zombies!!!</t>
  </si>
  <si>
    <t>Catan Dice Game</t>
  </si>
  <si>
    <t>Mille Bornes</t>
  </si>
  <si>
    <t>Cranium</t>
  </si>
  <si>
    <t>Fluxx</t>
  </si>
  <si>
    <t>Clue</t>
  </si>
  <si>
    <t>Jenga</t>
  </si>
  <si>
    <t>Risk</t>
  </si>
  <si>
    <t>Dominoes</t>
  </si>
  <si>
    <t>Skip-Bo</t>
  </si>
  <si>
    <t>UNO</t>
  </si>
  <si>
    <t>Yahtzee</t>
  </si>
  <si>
    <t>Phase 10</t>
  </si>
  <si>
    <t>Battleship</t>
  </si>
  <si>
    <t>Monopoly</t>
  </si>
  <si>
    <t>The Game of Life</t>
  </si>
  <si>
    <t>Orléans</t>
  </si>
  <si>
    <t>Ticket to Ride: Märklin</t>
  </si>
  <si>
    <t>Bärenpark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</si>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</sst>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F79DE2-688B-408C-9CDE-E10080B4D914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Year" tableColumnId="2"/>
      <queryTableField id="3" name="Min Players" tableColumnId="3"/>
      <queryTableField id="4" name="Max Players" tableColumnId="4"/>
      <queryTableField id="5" name="Play Time" tableColumnId="5"/>
      <queryTableField id="6" name="Rating" tableColumnId="6"/>
      <queryTableField id="7" name="Complexity" tableColumnId="7"/>
      <queryTableField id="8" name="Categor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89BDA-1FB8-405E-9AE7-6E0BE1EE2385}" name="igre_en" displayName="igre_en" ref="A1:I453" tableType="queryTable" totalsRowShown="0">
  <autoFilter ref="A1:I453" xr:uid="{ACB89BDA-1FB8-405E-9AE7-6E0BE1EE2385}"/>
  <sortState xmlns:xlrd2="http://schemas.microsoft.com/office/spreadsheetml/2017/richdata2" ref="A2:H453">
    <sortCondition ref="A1:A453"/>
  </sortState>
  <tableColumns count="9">
    <tableColumn id="1" xr3:uid="{020F5BB8-1AE0-4DBE-A344-71BC09AEB602}" uniqueName="1" name="Name" queryTableFieldId="1" dataDxfId="2"/>
    <tableColumn id="2" xr3:uid="{076A42F5-7C6D-4B60-A3F1-16FBC9BFFF9E}" uniqueName="2" name="Year" queryTableFieldId="2"/>
    <tableColumn id="3" xr3:uid="{B5619B19-532C-4D95-8196-F434D6875F72}" uniqueName="3" name="Min Players" queryTableFieldId="3"/>
    <tableColumn id="4" xr3:uid="{855F5527-5091-4615-8470-51D2A9D609DE}" uniqueName="4" name="Max Players" queryTableFieldId="4"/>
    <tableColumn id="5" xr3:uid="{69CF374B-AA33-4B31-BF1B-0D9167F3815B}" uniqueName="5" name="Play Time" queryTableFieldId="5"/>
    <tableColumn id="6" xr3:uid="{4E0C59C4-C9B1-4BB1-9801-692242961C24}" uniqueName="6" name="Rating" queryTableFieldId="6"/>
    <tableColumn id="7" xr3:uid="{73C59614-F7FF-419A-B4BF-3A647DC755D7}" uniqueName="7" name="Complexity" queryTableFieldId="7"/>
    <tableColumn id="8" xr3:uid="{BDE90CB5-B83A-4599-AE9F-CD6015167EAB}" uniqueName="8" name="Category" queryTableFieldId="8" dataDxfId="1"/>
    <tableColumn id="9" xr3:uid="{EC35A7AF-35D4-41EB-B40F-AF033C27AE50}" uniqueName="9" name="Density" queryTableFieldId="9" dataDxfId="0">
      <calculatedColumnFormula>igre_en[Play Time]/SQRT(igre_en[Max Players]*igre_en[Min Players])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DAD9-10C8-4DB9-86A9-716341FF69FE}">
  <dimension ref="A1:I453"/>
  <sheetViews>
    <sheetView tabSelected="1" workbookViewId="0">
      <selection activeCell="J1" sqref="J1"/>
    </sheetView>
  </sheetViews>
  <sheetFormatPr defaultRowHeight="14.4" x14ac:dyDescent="0.3"/>
  <cols>
    <col min="1" max="1" width="27.77734375" bestFit="1" customWidth="1"/>
    <col min="2" max="2" width="6.88671875" bestFit="1" customWidth="1"/>
    <col min="3" max="3" width="13" bestFit="1" customWidth="1"/>
    <col min="4" max="4" width="13.33203125" bestFit="1" customWidth="1"/>
    <col min="5" max="5" width="11.33203125" bestFit="1" customWidth="1"/>
    <col min="6" max="6" width="8.5546875" bestFit="1" customWidth="1"/>
    <col min="7" max="7" width="12.6640625" bestFit="1" customWidth="1"/>
    <col min="8" max="8" width="11.8867187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475</v>
      </c>
    </row>
    <row r="2" spans="1:9" x14ac:dyDescent="0.3">
      <c r="A2" s="3" t="s">
        <v>326</v>
      </c>
      <c r="B2">
        <v>2017</v>
      </c>
      <c r="C2">
        <v>2</v>
      </c>
      <c r="D2">
        <v>5</v>
      </c>
      <c r="E2">
        <v>30</v>
      </c>
      <c r="F2">
        <v>705</v>
      </c>
      <c r="G2">
        <v>112</v>
      </c>
      <c r="H2" s="3" t="s">
        <v>40</v>
      </c>
      <c r="I2" s="4">
        <f>igre_en[Play Time]/SQRT(igre_en[Max Players]*igre_en[Min Players])</f>
        <v>9.4868329805051381</v>
      </c>
    </row>
    <row r="3" spans="1:9" x14ac:dyDescent="0.3">
      <c r="A3" s="3" t="s">
        <v>366</v>
      </c>
      <c r="B3">
        <v>1994</v>
      </c>
      <c r="C3">
        <v>2</v>
      </c>
      <c r="D3">
        <v>10</v>
      </c>
      <c r="E3">
        <v>45</v>
      </c>
      <c r="F3">
        <v>692</v>
      </c>
      <c r="G3">
        <v>121</v>
      </c>
      <c r="H3" s="3" t="s">
        <v>40</v>
      </c>
      <c r="I3" s="4">
        <f>igre_en[Play Time]/SQRT(igre_en[Max Players]*igre_en[Min Players])</f>
        <v>10.062305898749052</v>
      </c>
    </row>
    <row r="4" spans="1:9" x14ac:dyDescent="0.3">
      <c r="A4" s="3" t="s">
        <v>108</v>
      </c>
      <c r="B4">
        <v>2010</v>
      </c>
      <c r="C4">
        <v>2</v>
      </c>
      <c r="D4">
        <v>7</v>
      </c>
      <c r="E4">
        <v>30</v>
      </c>
      <c r="F4">
        <v>775</v>
      </c>
      <c r="G4">
        <v>233</v>
      </c>
      <c r="H4" s="3" t="s">
        <v>40</v>
      </c>
      <c r="I4" s="4">
        <f>igre_en[Play Time]/SQRT(igre_en[Max Players]*igre_en[Min Players])</f>
        <v>8.0178372573727312</v>
      </c>
    </row>
    <row r="5" spans="1:9" x14ac:dyDescent="0.3">
      <c r="A5" s="3" t="s">
        <v>38</v>
      </c>
      <c r="B5">
        <v>2015</v>
      </c>
      <c r="C5">
        <v>2</v>
      </c>
      <c r="D5">
        <v>2</v>
      </c>
      <c r="E5">
        <v>30</v>
      </c>
      <c r="F5">
        <v>811</v>
      </c>
      <c r="G5">
        <v>223</v>
      </c>
      <c r="H5" s="3" t="s">
        <v>9</v>
      </c>
      <c r="I5" s="4">
        <f>igre_en[Play Time]/SQRT(igre_en[Max Players]*igre_en[Min Players])</f>
        <v>15</v>
      </c>
    </row>
    <row r="6" spans="1:9" x14ac:dyDescent="0.3">
      <c r="A6" s="3" t="s">
        <v>25</v>
      </c>
      <c r="B6">
        <v>2016</v>
      </c>
      <c r="C6">
        <v>1</v>
      </c>
      <c r="D6">
        <v>4</v>
      </c>
      <c r="E6">
        <v>120</v>
      </c>
      <c r="F6">
        <v>820</v>
      </c>
      <c r="G6">
        <v>384</v>
      </c>
      <c r="H6" s="3" t="s">
        <v>9</v>
      </c>
      <c r="I6" s="4">
        <f>igre_en[Play Time]/SQRT(igre_en[Max Players]*igre_en[Min Players])</f>
        <v>60</v>
      </c>
    </row>
    <row r="7" spans="1:9" x14ac:dyDescent="0.3">
      <c r="A7" s="3" t="s">
        <v>195</v>
      </c>
      <c r="B7">
        <v>2015</v>
      </c>
      <c r="C7">
        <v>2</v>
      </c>
      <c r="D7">
        <v>4</v>
      </c>
      <c r="E7">
        <v>90</v>
      </c>
      <c r="F7">
        <v>743</v>
      </c>
      <c r="G7">
        <v>253</v>
      </c>
      <c r="H7" s="3" t="s">
        <v>12</v>
      </c>
      <c r="I7" s="4">
        <f>igre_en[Play Time]/SQRT(igre_en[Max Players]*igre_en[Min Players])</f>
        <v>31.819805153394636</v>
      </c>
    </row>
    <row r="8" spans="1:9" x14ac:dyDescent="0.3">
      <c r="A8" s="3" t="s">
        <v>233</v>
      </c>
      <c r="B8">
        <v>2014</v>
      </c>
      <c r="C8">
        <v>2</v>
      </c>
      <c r="D8">
        <v>4</v>
      </c>
      <c r="E8">
        <v>60</v>
      </c>
      <c r="F8">
        <v>733</v>
      </c>
      <c r="G8">
        <v>232</v>
      </c>
      <c r="H8" s="3" t="s">
        <v>9</v>
      </c>
      <c r="I8" s="4">
        <f>igre_en[Play Time]/SQRT(igre_en[Max Players]*igre_en[Min Players])</f>
        <v>21.213203435596423</v>
      </c>
    </row>
    <row r="9" spans="1:9" x14ac:dyDescent="0.3">
      <c r="A9" s="3" t="s">
        <v>228</v>
      </c>
      <c r="B9">
        <v>1964</v>
      </c>
      <c r="C9">
        <v>2</v>
      </c>
      <c r="D9">
        <v>6</v>
      </c>
      <c r="E9">
        <v>90</v>
      </c>
      <c r="F9">
        <v>734</v>
      </c>
      <c r="G9">
        <v>250</v>
      </c>
      <c r="H9" s="3" t="s">
        <v>9</v>
      </c>
      <c r="I9" s="4">
        <f>igre_en[Play Time]/SQRT(igre_en[Max Players]*igre_en[Min Players])</f>
        <v>25.98076211353316</v>
      </c>
    </row>
    <row r="10" spans="1:9" x14ac:dyDescent="0.3">
      <c r="A10" s="3" t="s">
        <v>56</v>
      </c>
      <c r="B10">
        <v>2016</v>
      </c>
      <c r="C10">
        <v>1</v>
      </c>
      <c r="D10">
        <v>4</v>
      </c>
      <c r="E10">
        <v>60</v>
      </c>
      <c r="F10">
        <v>802</v>
      </c>
      <c r="G10">
        <v>276</v>
      </c>
      <c r="H10" s="3" t="s">
        <v>9</v>
      </c>
      <c r="I10" s="4">
        <f>igre_en[Play Time]/SQRT(igre_en[Max Players]*igre_en[Min Players])</f>
        <v>30</v>
      </c>
    </row>
    <row r="11" spans="1:9" x14ac:dyDescent="0.3">
      <c r="A11" s="3" t="s">
        <v>63</v>
      </c>
      <c r="B11">
        <v>2007</v>
      </c>
      <c r="C11">
        <v>1</v>
      </c>
      <c r="D11">
        <v>5</v>
      </c>
      <c r="E11">
        <v>150</v>
      </c>
      <c r="F11">
        <v>794</v>
      </c>
      <c r="G11">
        <v>364</v>
      </c>
      <c r="H11" s="3" t="s">
        <v>9</v>
      </c>
      <c r="I11" s="4">
        <f>igre_en[Play Time]/SQRT(igre_en[Max Players]*igre_en[Min Players])</f>
        <v>67.082039324993687</v>
      </c>
    </row>
    <row r="12" spans="1:9" x14ac:dyDescent="0.3">
      <c r="A12" s="3" t="s">
        <v>51</v>
      </c>
      <c r="B12">
        <v>2016</v>
      </c>
      <c r="C12">
        <v>1</v>
      </c>
      <c r="D12">
        <v>4</v>
      </c>
      <c r="E12">
        <v>120</v>
      </c>
      <c r="F12">
        <v>804</v>
      </c>
      <c r="G12">
        <v>350</v>
      </c>
      <c r="H12" s="3" t="s">
        <v>9</v>
      </c>
      <c r="I12" s="4">
        <f>igre_en[Play Time]/SQRT(igre_en[Max Players]*igre_en[Min Players])</f>
        <v>60</v>
      </c>
    </row>
    <row r="13" spans="1:9" x14ac:dyDescent="0.3">
      <c r="A13" s="3" t="s">
        <v>124</v>
      </c>
      <c r="B13">
        <v>2014</v>
      </c>
      <c r="C13">
        <v>2</v>
      </c>
      <c r="D13">
        <v>4</v>
      </c>
      <c r="E13">
        <v>120</v>
      </c>
      <c r="F13">
        <v>767</v>
      </c>
      <c r="G13">
        <v>390</v>
      </c>
      <c r="H13" s="3" t="s">
        <v>9</v>
      </c>
      <c r="I13" s="4">
        <f>igre_en[Play Time]/SQRT(igre_en[Max Players]*igre_en[Min Players])</f>
        <v>42.426406871192846</v>
      </c>
    </row>
    <row r="14" spans="1:9" x14ac:dyDescent="0.3">
      <c r="A14" s="3" t="s">
        <v>340</v>
      </c>
      <c r="B14">
        <v>2003</v>
      </c>
      <c r="C14">
        <v>2</v>
      </c>
      <c r="D14">
        <v>6</v>
      </c>
      <c r="E14">
        <v>60</v>
      </c>
      <c r="F14">
        <v>703</v>
      </c>
      <c r="G14">
        <v>210</v>
      </c>
      <c r="H14" s="3" t="s">
        <v>40</v>
      </c>
      <c r="I14" s="4">
        <f>igre_en[Play Time]/SQRT(igre_en[Max Players]*igre_en[Min Players])</f>
        <v>17.320508075688775</v>
      </c>
    </row>
    <row r="15" spans="1:9" x14ac:dyDescent="0.3">
      <c r="A15" s="3" t="s">
        <v>205</v>
      </c>
      <c r="B15">
        <v>2010</v>
      </c>
      <c r="C15">
        <v>2</v>
      </c>
      <c r="D15">
        <v>4</v>
      </c>
      <c r="E15">
        <v>90</v>
      </c>
      <c r="F15">
        <v>741</v>
      </c>
      <c r="G15">
        <v>257</v>
      </c>
      <c r="H15" s="3" t="s">
        <v>9</v>
      </c>
      <c r="I15" s="4">
        <f>igre_en[Play Time]/SQRT(igre_en[Max Players]*igre_en[Min Players])</f>
        <v>31.819805153394636</v>
      </c>
    </row>
    <row r="16" spans="1:9" x14ac:dyDescent="0.3">
      <c r="A16" s="3" t="s">
        <v>42</v>
      </c>
      <c r="B16">
        <v>2017</v>
      </c>
      <c r="C16">
        <v>1</v>
      </c>
      <c r="D16">
        <v>4</v>
      </c>
      <c r="E16">
        <v>120</v>
      </c>
      <c r="F16">
        <v>810</v>
      </c>
      <c r="G16">
        <v>400</v>
      </c>
      <c r="H16" s="3" t="s">
        <v>9</v>
      </c>
      <c r="I16" s="4">
        <f>igre_en[Play Time]/SQRT(igre_en[Max Players]*igre_en[Min Players])</f>
        <v>60</v>
      </c>
    </row>
    <row r="17" spans="1:9" x14ac:dyDescent="0.3">
      <c r="A17" s="3" t="s">
        <v>74</v>
      </c>
      <c r="B17">
        <v>2012</v>
      </c>
      <c r="C17">
        <v>2</v>
      </c>
      <c r="D17">
        <v>2</v>
      </c>
      <c r="E17">
        <v>45</v>
      </c>
      <c r="F17">
        <v>787</v>
      </c>
      <c r="G17">
        <v>338</v>
      </c>
      <c r="H17" s="3" t="s">
        <v>28</v>
      </c>
      <c r="I17" s="4">
        <f>igre_en[Play Time]/SQRT(igre_en[Max Players]*igre_en[Min Players])</f>
        <v>22.5</v>
      </c>
    </row>
    <row r="18" spans="1:9" x14ac:dyDescent="0.3">
      <c r="A18" s="3" t="s">
        <v>382</v>
      </c>
      <c r="B18">
        <v>2005</v>
      </c>
      <c r="C18">
        <v>2</v>
      </c>
      <c r="D18">
        <v>4</v>
      </c>
      <c r="E18">
        <v>15</v>
      </c>
      <c r="F18">
        <v>682</v>
      </c>
      <c r="G18">
        <v>105</v>
      </c>
      <c r="H18" s="3" t="s">
        <v>360</v>
      </c>
      <c r="I18" s="4">
        <f>igre_en[Play Time]/SQRT(igre_en[Max Players]*igre_en[Min Players])</f>
        <v>5.3033008588991057</v>
      </c>
    </row>
    <row r="19" spans="1:9" x14ac:dyDescent="0.3">
      <c r="A19" s="3" t="s">
        <v>455</v>
      </c>
      <c r="B19">
        <v>1999</v>
      </c>
      <c r="C19">
        <v>4</v>
      </c>
      <c r="D19">
        <v>10</v>
      </c>
      <c r="E19">
        <v>30</v>
      </c>
      <c r="F19">
        <v>581</v>
      </c>
      <c r="G19">
        <v>116</v>
      </c>
      <c r="H19" s="3" t="s">
        <v>95</v>
      </c>
      <c r="I19" s="4">
        <f>igre_en[Play Time]/SQRT(igre_en[Max Players]*igre_en[Min Players])</f>
        <v>4.7434164902525691</v>
      </c>
    </row>
    <row r="20" spans="1:9" x14ac:dyDescent="0.3">
      <c r="A20" s="3" t="s">
        <v>252</v>
      </c>
      <c r="B20">
        <v>2014</v>
      </c>
      <c r="C20">
        <v>2</v>
      </c>
      <c r="D20">
        <v>4</v>
      </c>
      <c r="E20">
        <v>100</v>
      </c>
      <c r="F20">
        <v>728</v>
      </c>
      <c r="G20">
        <v>369</v>
      </c>
      <c r="H20" s="3" t="s">
        <v>9</v>
      </c>
      <c r="I20" s="4">
        <f>igre_en[Play Time]/SQRT(igre_en[Max Players]*igre_en[Min Players])</f>
        <v>35.35533905932737</v>
      </c>
    </row>
    <row r="21" spans="1:9" x14ac:dyDescent="0.3">
      <c r="A21" s="3" t="s">
        <v>216</v>
      </c>
      <c r="B21">
        <v>2015</v>
      </c>
      <c r="C21">
        <v>2</v>
      </c>
      <c r="D21">
        <v>4</v>
      </c>
      <c r="E21">
        <v>30</v>
      </c>
      <c r="F21">
        <v>739</v>
      </c>
      <c r="G21">
        <v>216</v>
      </c>
      <c r="H21" s="3" t="s">
        <v>40</v>
      </c>
      <c r="I21" s="4">
        <f>igre_en[Play Time]/SQRT(igre_en[Max Players]*igre_en[Min Players])</f>
        <v>10.606601717798211</v>
      </c>
    </row>
    <row r="22" spans="1:9" x14ac:dyDescent="0.3">
      <c r="A22" s="3" t="s">
        <v>115</v>
      </c>
      <c r="B22">
        <v>2014</v>
      </c>
      <c r="C22">
        <v>2</v>
      </c>
      <c r="D22">
        <v>4</v>
      </c>
      <c r="E22">
        <v>60</v>
      </c>
      <c r="F22">
        <v>771</v>
      </c>
      <c r="G22">
        <v>253</v>
      </c>
      <c r="H22" s="3" t="s">
        <v>12</v>
      </c>
      <c r="I22" s="4">
        <f>igre_en[Play Time]/SQRT(igre_en[Max Players]*igre_en[Min Players])</f>
        <v>21.213203435596423</v>
      </c>
    </row>
    <row r="23" spans="1:9" x14ac:dyDescent="0.3">
      <c r="A23" s="3" t="s">
        <v>82</v>
      </c>
      <c r="B23">
        <v>2018</v>
      </c>
      <c r="C23">
        <v>1</v>
      </c>
      <c r="D23">
        <v>5</v>
      </c>
      <c r="E23">
        <v>80</v>
      </c>
      <c r="F23">
        <v>783</v>
      </c>
      <c r="G23">
        <v>277</v>
      </c>
      <c r="H23" s="3" t="s">
        <v>9</v>
      </c>
      <c r="I23" s="4">
        <f>igre_en[Play Time]/SQRT(igre_en[Max Players]*igre_en[Min Players])</f>
        <v>35.777087639996637</v>
      </c>
    </row>
    <row r="24" spans="1:9" x14ac:dyDescent="0.3">
      <c r="A24" s="3" t="s">
        <v>256</v>
      </c>
      <c r="B24">
        <v>2005</v>
      </c>
      <c r="C24">
        <v>1</v>
      </c>
      <c r="D24">
        <v>8</v>
      </c>
      <c r="E24">
        <v>240</v>
      </c>
      <c r="F24">
        <v>726</v>
      </c>
      <c r="G24">
        <v>358</v>
      </c>
      <c r="H24" s="3" t="s">
        <v>12</v>
      </c>
      <c r="I24" s="4">
        <f>igre_en[Play Time]/SQRT(igre_en[Max Players]*igre_en[Min Players])</f>
        <v>84.852813742385692</v>
      </c>
    </row>
    <row r="25" spans="1:9" x14ac:dyDescent="0.3">
      <c r="A25" s="3" t="s">
        <v>27</v>
      </c>
      <c r="B25">
        <v>2016</v>
      </c>
      <c r="C25">
        <v>1</v>
      </c>
      <c r="D25">
        <v>2</v>
      </c>
      <c r="E25">
        <v>120</v>
      </c>
      <c r="F25">
        <v>817</v>
      </c>
      <c r="G25">
        <v>344</v>
      </c>
      <c r="H25" s="3" t="s">
        <v>28</v>
      </c>
      <c r="I25" s="4">
        <f>igre_en[Play Time]/SQRT(igre_en[Max Players]*igre_en[Min Players])</f>
        <v>84.852813742385692</v>
      </c>
    </row>
    <row r="26" spans="1:9" x14ac:dyDescent="0.3">
      <c r="A26" s="3" t="s">
        <v>336</v>
      </c>
      <c r="B26">
        <v>2010</v>
      </c>
      <c r="C26">
        <v>1</v>
      </c>
      <c r="D26">
        <v>4</v>
      </c>
      <c r="E26">
        <v>30</v>
      </c>
      <c r="F26">
        <v>703</v>
      </c>
      <c r="G26">
        <v>215</v>
      </c>
      <c r="H26" s="3" t="s">
        <v>9</v>
      </c>
      <c r="I26" s="4">
        <f>igre_en[Play Time]/SQRT(igre_en[Max Players]*igre_en[Min Players])</f>
        <v>15</v>
      </c>
    </row>
    <row r="27" spans="1:9" x14ac:dyDescent="0.3">
      <c r="A27" s="3" t="s">
        <v>217</v>
      </c>
      <c r="B27">
        <v>2009</v>
      </c>
      <c r="C27">
        <v>1</v>
      </c>
      <c r="D27">
        <v>4</v>
      </c>
      <c r="E27">
        <v>120</v>
      </c>
      <c r="F27">
        <v>738</v>
      </c>
      <c r="G27">
        <v>313</v>
      </c>
      <c r="H27" s="3" t="s">
        <v>9</v>
      </c>
      <c r="I27" s="4">
        <f>igre_en[Play Time]/SQRT(igre_en[Max Players]*igre_en[Min Players])</f>
        <v>60</v>
      </c>
    </row>
    <row r="28" spans="1:9" x14ac:dyDescent="0.3">
      <c r="A28" s="3" t="s">
        <v>413</v>
      </c>
      <c r="B28">
        <v>1981</v>
      </c>
      <c r="C28">
        <v>2</v>
      </c>
      <c r="D28">
        <v>5</v>
      </c>
      <c r="E28">
        <v>180</v>
      </c>
      <c r="F28">
        <v>656</v>
      </c>
      <c r="G28">
        <v>304</v>
      </c>
      <c r="H28" s="3" t="s">
        <v>97</v>
      </c>
      <c r="I28" s="4">
        <f>igre_en[Play Time]/SQRT(igre_en[Max Players]*igre_en[Min Players])</f>
        <v>56.920997883030822</v>
      </c>
    </row>
    <row r="29" spans="1:9" x14ac:dyDescent="0.3">
      <c r="A29" s="3" t="s">
        <v>85</v>
      </c>
      <c r="B29">
        <v>2017</v>
      </c>
      <c r="C29">
        <v>2</v>
      </c>
      <c r="D29">
        <v>4</v>
      </c>
      <c r="E29">
        <v>45</v>
      </c>
      <c r="F29">
        <v>783</v>
      </c>
      <c r="G29">
        <v>177</v>
      </c>
      <c r="H29" s="3" t="s">
        <v>84</v>
      </c>
      <c r="I29" s="4">
        <f>igre_en[Play Time]/SQRT(igre_en[Max Players]*igre_en[Min Players])</f>
        <v>15.909902576697318</v>
      </c>
    </row>
    <row r="30" spans="1:9" x14ac:dyDescent="0.3">
      <c r="A30" s="3" t="s">
        <v>197</v>
      </c>
      <c r="B30">
        <v>2018</v>
      </c>
      <c r="C30">
        <v>2</v>
      </c>
      <c r="D30">
        <v>4</v>
      </c>
      <c r="E30">
        <v>45</v>
      </c>
      <c r="F30">
        <v>742</v>
      </c>
      <c r="G30">
        <v>198</v>
      </c>
      <c r="H30" s="3" t="s">
        <v>40</v>
      </c>
      <c r="I30" s="4">
        <f>igre_en[Play Time]/SQRT(igre_en[Max Players]*igre_en[Min Players])</f>
        <v>15.909902576697318</v>
      </c>
    </row>
    <row r="31" spans="1:9" x14ac:dyDescent="0.3">
      <c r="A31" s="3" t="s">
        <v>83</v>
      </c>
      <c r="B31">
        <v>2019</v>
      </c>
      <c r="C31">
        <v>2</v>
      </c>
      <c r="D31">
        <v>4</v>
      </c>
      <c r="E31">
        <v>45</v>
      </c>
      <c r="F31">
        <v>783</v>
      </c>
      <c r="G31">
        <v>205</v>
      </c>
      <c r="H31" s="3" t="s">
        <v>84</v>
      </c>
      <c r="I31" s="4">
        <f>igre_en[Play Time]/SQRT(igre_en[Max Players]*igre_en[Min Players])</f>
        <v>15.909902576697318</v>
      </c>
    </row>
    <row r="32" spans="1:9" x14ac:dyDescent="0.3">
      <c r="A32" s="3" t="s">
        <v>416</v>
      </c>
      <c r="B32">
        <v>-3000</v>
      </c>
      <c r="C32">
        <v>2</v>
      </c>
      <c r="D32">
        <v>2</v>
      </c>
      <c r="E32">
        <v>30</v>
      </c>
      <c r="F32">
        <v>654</v>
      </c>
      <c r="G32">
        <v>202</v>
      </c>
      <c r="H32" s="3" t="s">
        <v>84</v>
      </c>
      <c r="I32" s="4">
        <f>igre_en[Play Time]/SQRT(igre_en[Max Players]*igre_en[Min Players])</f>
        <v>15</v>
      </c>
    </row>
    <row r="33" spans="1:9" x14ac:dyDescent="0.3">
      <c r="A33" s="3" t="s">
        <v>428</v>
      </c>
      <c r="B33">
        <v>2006</v>
      </c>
      <c r="C33">
        <v>1</v>
      </c>
      <c r="D33">
        <v>8</v>
      </c>
      <c r="E33">
        <v>15</v>
      </c>
      <c r="F33">
        <v>636</v>
      </c>
      <c r="G33">
        <v>133</v>
      </c>
      <c r="H33" s="3" t="s">
        <v>40</v>
      </c>
      <c r="I33" s="4">
        <f>igre_en[Play Time]/SQRT(igre_en[Max Players]*igre_en[Min Players])</f>
        <v>5.3033008588991057</v>
      </c>
    </row>
    <row r="34" spans="1:9" x14ac:dyDescent="0.3">
      <c r="A34" s="3" t="s">
        <v>420</v>
      </c>
      <c r="B34">
        <v>2002</v>
      </c>
      <c r="C34">
        <v>4</v>
      </c>
      <c r="D34">
        <v>7</v>
      </c>
      <c r="E34">
        <v>40</v>
      </c>
      <c r="F34">
        <v>651</v>
      </c>
      <c r="G34">
        <v>164</v>
      </c>
      <c r="H34" s="3" t="s">
        <v>95</v>
      </c>
      <c r="I34" s="4">
        <f>igre_en[Play Time]/SQRT(igre_en[Max Players]*igre_en[Min Players])</f>
        <v>7.5592894601845444</v>
      </c>
    </row>
    <row r="35" spans="1:9" x14ac:dyDescent="0.3">
      <c r="A35" s="3" t="s">
        <v>356</v>
      </c>
      <c r="B35">
        <v>2013</v>
      </c>
      <c r="C35">
        <v>3</v>
      </c>
      <c r="D35">
        <v>8</v>
      </c>
      <c r="E35">
        <v>15</v>
      </c>
      <c r="F35">
        <v>695</v>
      </c>
      <c r="G35">
        <v>127</v>
      </c>
      <c r="H35" s="3" t="s">
        <v>95</v>
      </c>
      <c r="I35" s="4">
        <f>igre_en[Play Time]/SQRT(igre_en[Max Players]*igre_en[Min Players])</f>
        <v>3.061862178478973</v>
      </c>
    </row>
    <row r="36" spans="1:9" x14ac:dyDescent="0.3">
      <c r="A36" s="3" t="s">
        <v>474</v>
      </c>
      <c r="B36">
        <v>2017</v>
      </c>
      <c r="C36">
        <v>2</v>
      </c>
      <c r="D36">
        <v>4</v>
      </c>
      <c r="E36">
        <v>45</v>
      </c>
      <c r="F36">
        <v>736</v>
      </c>
      <c r="G36">
        <v>164</v>
      </c>
      <c r="H36" s="3" t="s">
        <v>40</v>
      </c>
      <c r="I36" s="4">
        <f>igre_en[Play Time]/SQRT(igre_en[Max Players]*igre_en[Min Players])</f>
        <v>15.909902576697318</v>
      </c>
    </row>
    <row r="37" spans="1:9" x14ac:dyDescent="0.3">
      <c r="A37" s="3" t="s">
        <v>199</v>
      </c>
      <c r="B37">
        <v>2000</v>
      </c>
      <c r="C37">
        <v>2</v>
      </c>
      <c r="D37">
        <v>2</v>
      </c>
      <c r="E37">
        <v>30</v>
      </c>
      <c r="F37">
        <v>742</v>
      </c>
      <c r="G37">
        <v>190</v>
      </c>
      <c r="H37" s="3" t="s">
        <v>9</v>
      </c>
      <c r="I37" s="4">
        <f>igre_en[Play Time]/SQRT(igre_en[Max Players]*igre_en[Min Players])</f>
        <v>15</v>
      </c>
    </row>
    <row r="38" spans="1:9" x14ac:dyDescent="0.3">
      <c r="A38" s="3" t="s">
        <v>222</v>
      </c>
      <c r="B38">
        <v>2006</v>
      </c>
      <c r="C38">
        <v>2</v>
      </c>
      <c r="D38">
        <v>2</v>
      </c>
      <c r="E38">
        <v>60</v>
      </c>
      <c r="F38">
        <v>736</v>
      </c>
      <c r="G38">
        <v>276</v>
      </c>
      <c r="H38" s="3" t="s">
        <v>12</v>
      </c>
      <c r="I38" s="4">
        <f>igre_en[Play Time]/SQRT(igre_en[Max Players]*igre_en[Min Players])</f>
        <v>30</v>
      </c>
    </row>
    <row r="39" spans="1:9" x14ac:dyDescent="0.3">
      <c r="A39" s="3" t="s">
        <v>469</v>
      </c>
      <c r="B39">
        <v>1931</v>
      </c>
      <c r="C39">
        <v>2</v>
      </c>
      <c r="D39">
        <v>2</v>
      </c>
      <c r="E39">
        <v>30</v>
      </c>
      <c r="F39">
        <v>465</v>
      </c>
      <c r="G39">
        <v>122</v>
      </c>
      <c r="H39" s="3" t="s">
        <v>360</v>
      </c>
      <c r="I39" s="4">
        <f>igre_en[Play Time]/SQRT(igre_en[Max Players]*igre_en[Min Players])</f>
        <v>15</v>
      </c>
    </row>
    <row r="40" spans="1:9" x14ac:dyDescent="0.3">
      <c r="A40" s="3" t="s">
        <v>318</v>
      </c>
      <c r="B40">
        <v>2004</v>
      </c>
      <c r="C40">
        <v>3</v>
      </c>
      <c r="D40">
        <v>6</v>
      </c>
      <c r="E40">
        <v>60</v>
      </c>
      <c r="F40">
        <v>706</v>
      </c>
      <c r="G40">
        <v>239</v>
      </c>
      <c r="H40" s="3" t="s">
        <v>12</v>
      </c>
      <c r="I40" s="4">
        <f>igre_en[Play Time]/SQRT(igre_en[Max Players]*igre_en[Min Players])</f>
        <v>14.142135623730951</v>
      </c>
    </row>
    <row r="41" spans="1:9" x14ac:dyDescent="0.3">
      <c r="A41" s="3" t="s">
        <v>337</v>
      </c>
      <c r="B41">
        <v>2015</v>
      </c>
      <c r="C41">
        <v>1</v>
      </c>
      <c r="D41">
        <v>7</v>
      </c>
      <c r="E41">
        <v>25</v>
      </c>
      <c r="F41">
        <v>703</v>
      </c>
      <c r="G41">
        <v>182</v>
      </c>
      <c r="H41" s="3" t="s">
        <v>40</v>
      </c>
      <c r="I41" s="4">
        <f>igre_en[Play Time]/SQRT(igre_en[Max Players]*igre_en[Min Players])</f>
        <v>9.4491118252306805</v>
      </c>
    </row>
    <row r="42" spans="1:9" x14ac:dyDescent="0.3">
      <c r="A42" s="3" t="s">
        <v>284</v>
      </c>
      <c r="B42">
        <v>2007</v>
      </c>
      <c r="C42">
        <v>2</v>
      </c>
      <c r="D42">
        <v>4</v>
      </c>
      <c r="E42">
        <v>30</v>
      </c>
      <c r="F42">
        <v>719</v>
      </c>
      <c r="G42">
        <v>168</v>
      </c>
      <c r="H42" s="3" t="s">
        <v>40</v>
      </c>
      <c r="I42" s="4">
        <f>igre_en[Play Time]/SQRT(igre_en[Max Players]*igre_en[Min Players])</f>
        <v>10.606601717798211</v>
      </c>
    </row>
    <row r="43" spans="1:9" x14ac:dyDescent="0.3">
      <c r="A43" s="3" t="s">
        <v>375</v>
      </c>
      <c r="B43">
        <v>2000</v>
      </c>
      <c r="C43">
        <v>2</v>
      </c>
      <c r="D43">
        <v>4</v>
      </c>
      <c r="E43">
        <v>20</v>
      </c>
      <c r="F43">
        <v>688</v>
      </c>
      <c r="G43">
        <v>177</v>
      </c>
      <c r="H43" s="3" t="s">
        <v>84</v>
      </c>
      <c r="I43" s="4">
        <f>igre_en[Play Time]/SQRT(igre_en[Max Players]*igre_en[Min Players])</f>
        <v>7.0710678118654746</v>
      </c>
    </row>
    <row r="44" spans="1:9" x14ac:dyDescent="0.3">
      <c r="A44" s="3" t="s">
        <v>58</v>
      </c>
      <c r="B44">
        <v>2015</v>
      </c>
      <c r="C44">
        <v>2</v>
      </c>
      <c r="D44">
        <v>4</v>
      </c>
      <c r="E44">
        <v>90</v>
      </c>
      <c r="F44">
        <v>800</v>
      </c>
      <c r="G44">
        <v>288</v>
      </c>
      <c r="H44" s="3" t="s">
        <v>9</v>
      </c>
      <c r="I44" s="4">
        <f>igre_en[Play Time]/SQRT(igre_en[Max Players]*igre_en[Min Players])</f>
        <v>31.819805153394636</v>
      </c>
    </row>
    <row r="45" spans="1:9" x14ac:dyDescent="0.3">
      <c r="A45" s="3" t="s">
        <v>439</v>
      </c>
      <c r="B45">
        <v>1972</v>
      </c>
      <c r="C45">
        <v>1</v>
      </c>
      <c r="D45">
        <v>8</v>
      </c>
      <c r="E45">
        <v>10</v>
      </c>
      <c r="F45">
        <v>621</v>
      </c>
      <c r="G45">
        <v>149</v>
      </c>
      <c r="H45" s="3" t="s">
        <v>40</v>
      </c>
      <c r="I45" s="4">
        <f>igre_en[Play Time]/SQRT(igre_en[Max Players]*igre_en[Min Players])</f>
        <v>3.5355339059327373</v>
      </c>
    </row>
    <row r="46" spans="1:9" x14ac:dyDescent="0.3">
      <c r="A46" s="3" t="s">
        <v>335</v>
      </c>
      <c r="B46">
        <v>1997</v>
      </c>
      <c r="C46">
        <v>2</v>
      </c>
      <c r="D46">
        <v>7</v>
      </c>
      <c r="E46">
        <v>45</v>
      </c>
      <c r="F46">
        <v>704</v>
      </c>
      <c r="G46">
        <v>167</v>
      </c>
      <c r="H46" s="3" t="s">
        <v>40</v>
      </c>
      <c r="I46" s="4">
        <f>igre_en[Play Time]/SQRT(igre_en[Max Players]*igre_en[Min Players])</f>
        <v>12.026755886059098</v>
      </c>
    </row>
    <row r="47" spans="1:9" x14ac:dyDescent="0.3">
      <c r="A47" s="3" t="s">
        <v>160</v>
      </c>
      <c r="B47">
        <v>2013</v>
      </c>
      <c r="C47">
        <v>2</v>
      </c>
      <c r="D47">
        <v>4</v>
      </c>
      <c r="E47">
        <v>120</v>
      </c>
      <c r="F47">
        <v>756</v>
      </c>
      <c r="G47">
        <v>374</v>
      </c>
      <c r="H47" s="3" t="s">
        <v>9</v>
      </c>
      <c r="I47" s="4">
        <f>igre_en[Play Time]/SQRT(igre_en[Max Players]*igre_en[Min Players])</f>
        <v>42.426406871192846</v>
      </c>
    </row>
    <row r="48" spans="1:9" x14ac:dyDescent="0.3">
      <c r="A48" s="3" t="s">
        <v>13</v>
      </c>
      <c r="B48">
        <v>2018</v>
      </c>
      <c r="C48">
        <v>2</v>
      </c>
      <c r="D48">
        <v>4</v>
      </c>
      <c r="E48">
        <v>120</v>
      </c>
      <c r="F48">
        <v>866</v>
      </c>
      <c r="G48">
        <v>391</v>
      </c>
      <c r="H48" s="3" t="s">
        <v>9</v>
      </c>
      <c r="I48" s="4">
        <f>igre_en[Play Time]/SQRT(igre_en[Max Players]*igre_en[Min Players])</f>
        <v>42.426406871192846</v>
      </c>
    </row>
    <row r="49" spans="1:9" x14ac:dyDescent="0.3">
      <c r="A49" s="3" t="s">
        <v>29</v>
      </c>
      <c r="B49">
        <v>2007</v>
      </c>
      <c r="C49">
        <v>2</v>
      </c>
      <c r="D49">
        <v>4</v>
      </c>
      <c r="E49">
        <v>120</v>
      </c>
      <c r="F49">
        <v>817</v>
      </c>
      <c r="G49">
        <v>386</v>
      </c>
      <c r="H49" s="3" t="s">
        <v>9</v>
      </c>
      <c r="I49" s="4">
        <f>igre_en[Play Time]/SQRT(igre_en[Max Players]*igre_en[Min Players])</f>
        <v>42.426406871192846</v>
      </c>
    </row>
    <row r="50" spans="1:9" x14ac:dyDescent="0.3">
      <c r="A50" s="3" t="s">
        <v>281</v>
      </c>
      <c r="B50">
        <v>2015</v>
      </c>
      <c r="C50">
        <v>2</v>
      </c>
      <c r="D50">
        <v>5</v>
      </c>
      <c r="E50">
        <v>75</v>
      </c>
      <c r="F50">
        <v>719</v>
      </c>
      <c r="G50">
        <v>240</v>
      </c>
      <c r="H50" s="3" t="s">
        <v>40</v>
      </c>
      <c r="I50" s="4">
        <f>igre_en[Play Time]/SQRT(igre_en[Max Players]*igre_en[Min Players])</f>
        <v>23.717082451262844</v>
      </c>
    </row>
    <row r="51" spans="1:9" x14ac:dyDescent="0.3">
      <c r="A51" s="3" t="s">
        <v>196</v>
      </c>
      <c r="B51">
        <v>2013</v>
      </c>
      <c r="C51">
        <v>2</v>
      </c>
      <c r="D51">
        <v>4</v>
      </c>
      <c r="E51">
        <v>60</v>
      </c>
      <c r="F51">
        <v>743</v>
      </c>
      <c r="G51">
        <v>275</v>
      </c>
      <c r="H51" s="3" t="s">
        <v>9</v>
      </c>
      <c r="I51" s="4">
        <f>igre_en[Play Time]/SQRT(igre_en[Max Players]*igre_en[Min Players])</f>
        <v>21.213203435596423</v>
      </c>
    </row>
    <row r="52" spans="1:9" x14ac:dyDescent="0.3">
      <c r="A52" s="3" t="s">
        <v>188</v>
      </c>
      <c r="B52">
        <v>2017</v>
      </c>
      <c r="C52">
        <v>2</v>
      </c>
      <c r="D52">
        <v>4</v>
      </c>
      <c r="E52">
        <v>60</v>
      </c>
      <c r="F52">
        <v>746</v>
      </c>
      <c r="G52">
        <v>227</v>
      </c>
      <c r="H52" s="3" t="s">
        <v>40</v>
      </c>
      <c r="I52" s="4">
        <f>igre_en[Play Time]/SQRT(igre_en[Max Players]*igre_en[Min Players])</f>
        <v>21.213203435596423</v>
      </c>
    </row>
    <row r="53" spans="1:9" x14ac:dyDescent="0.3">
      <c r="A53" s="3" t="s">
        <v>164</v>
      </c>
      <c r="B53">
        <v>2015</v>
      </c>
      <c r="C53">
        <v>1</v>
      </c>
      <c r="D53">
        <v>4</v>
      </c>
      <c r="E53">
        <v>90</v>
      </c>
      <c r="F53">
        <v>754</v>
      </c>
      <c r="G53">
        <v>231</v>
      </c>
      <c r="H53" s="3" t="s">
        <v>40</v>
      </c>
      <c r="I53" s="4">
        <f>igre_en[Play Time]/SQRT(igre_en[Max Players]*igre_en[Min Players])</f>
        <v>45</v>
      </c>
    </row>
    <row r="54" spans="1:9" x14ac:dyDescent="0.3">
      <c r="A54" s="3" t="s">
        <v>372</v>
      </c>
      <c r="B54">
        <v>2014</v>
      </c>
      <c r="C54">
        <v>4</v>
      </c>
      <c r="D54">
        <v>8</v>
      </c>
      <c r="E54">
        <v>30</v>
      </c>
      <c r="F54">
        <v>689</v>
      </c>
      <c r="G54">
        <v>126</v>
      </c>
      <c r="H54" s="3" t="s">
        <v>95</v>
      </c>
      <c r="I54" s="4">
        <f>igre_en[Play Time]/SQRT(igre_en[Max Players]*igre_en[Min Players])</f>
        <v>5.3033008588991057</v>
      </c>
    </row>
    <row r="55" spans="1:9" x14ac:dyDescent="0.3">
      <c r="A55" s="3" t="s">
        <v>312</v>
      </c>
      <c r="B55">
        <v>2015</v>
      </c>
      <c r="C55">
        <v>2</v>
      </c>
      <c r="D55">
        <v>4</v>
      </c>
      <c r="E55">
        <v>45</v>
      </c>
      <c r="F55">
        <v>710</v>
      </c>
      <c r="G55">
        <v>182</v>
      </c>
      <c r="H55" s="3" t="s">
        <v>40</v>
      </c>
      <c r="I55" s="4">
        <f>igre_en[Play Time]/SQRT(igre_en[Max Players]*igre_en[Min Players])</f>
        <v>15.909902576697318</v>
      </c>
    </row>
    <row r="56" spans="1:9" x14ac:dyDescent="0.3">
      <c r="A56" s="3" t="s">
        <v>332</v>
      </c>
      <c r="B56">
        <v>2014</v>
      </c>
      <c r="C56">
        <v>2</v>
      </c>
      <c r="D56">
        <v>8</v>
      </c>
      <c r="E56">
        <v>30</v>
      </c>
      <c r="F56">
        <v>705</v>
      </c>
      <c r="G56">
        <v>148</v>
      </c>
      <c r="H56" s="3" t="s">
        <v>40</v>
      </c>
      <c r="I56" s="4">
        <f>igre_en[Play Time]/SQRT(igre_en[Max Players]*igre_en[Min Players])</f>
        <v>7.5</v>
      </c>
    </row>
    <row r="57" spans="1:9" x14ac:dyDescent="0.3">
      <c r="A57" s="3" t="s">
        <v>378</v>
      </c>
      <c r="B57">
        <v>1980</v>
      </c>
      <c r="C57">
        <v>2</v>
      </c>
      <c r="D57">
        <v>4</v>
      </c>
      <c r="E57">
        <v>30</v>
      </c>
      <c r="F57">
        <v>685</v>
      </c>
      <c r="G57">
        <v>116</v>
      </c>
      <c r="H57" s="3" t="s">
        <v>40</v>
      </c>
      <c r="I57" s="4">
        <f>igre_en[Play Time]/SQRT(igre_en[Max Players]*igre_en[Min Players])</f>
        <v>10.606601717798211</v>
      </c>
    </row>
    <row r="58" spans="1:9" x14ac:dyDescent="0.3">
      <c r="A58" s="3" t="s">
        <v>154</v>
      </c>
      <c r="B58">
        <v>2016</v>
      </c>
      <c r="C58">
        <v>2</v>
      </c>
      <c r="D58">
        <v>8</v>
      </c>
      <c r="E58">
        <v>60</v>
      </c>
      <c r="F58">
        <v>757</v>
      </c>
      <c r="G58">
        <v>215</v>
      </c>
      <c r="H58" s="3" t="s">
        <v>95</v>
      </c>
      <c r="I58" s="4">
        <f>igre_en[Play Time]/SQRT(igre_en[Max Players]*igre_en[Min Players])</f>
        <v>15</v>
      </c>
    </row>
    <row r="59" spans="1:9" x14ac:dyDescent="0.3">
      <c r="A59" s="3" t="s">
        <v>200</v>
      </c>
      <c r="B59">
        <v>2000</v>
      </c>
      <c r="C59">
        <v>2</v>
      </c>
      <c r="D59">
        <v>5</v>
      </c>
      <c r="E59">
        <v>45</v>
      </c>
      <c r="F59">
        <v>742</v>
      </c>
      <c r="G59">
        <v>191</v>
      </c>
      <c r="H59" s="3" t="s">
        <v>40</v>
      </c>
      <c r="I59" s="4">
        <f>igre_en[Play Time]/SQRT(igre_en[Max Players]*igre_en[Min Players])</f>
        <v>14.230249470757705</v>
      </c>
    </row>
    <row r="60" spans="1:9" x14ac:dyDescent="0.3">
      <c r="A60" s="3" t="s">
        <v>309</v>
      </c>
      <c r="B60">
        <v>2003</v>
      </c>
      <c r="C60">
        <v>2</v>
      </c>
      <c r="D60">
        <v>2</v>
      </c>
      <c r="E60">
        <v>30</v>
      </c>
      <c r="F60">
        <v>710</v>
      </c>
      <c r="G60">
        <v>199</v>
      </c>
      <c r="H60" s="3" t="s">
        <v>40</v>
      </c>
      <c r="I60" s="4">
        <f>igre_en[Play Time]/SQRT(igre_en[Max Players]*igre_en[Min Players])</f>
        <v>15</v>
      </c>
    </row>
    <row r="61" spans="1:9" x14ac:dyDescent="0.3">
      <c r="A61" s="3" t="s">
        <v>452</v>
      </c>
      <c r="B61">
        <v>2009</v>
      </c>
      <c r="C61">
        <v>4</v>
      </c>
      <c r="D61">
        <v>30</v>
      </c>
      <c r="E61">
        <v>30</v>
      </c>
      <c r="F61">
        <v>591</v>
      </c>
      <c r="G61">
        <v>120</v>
      </c>
      <c r="H61" s="3" t="s">
        <v>95</v>
      </c>
      <c r="I61" s="4">
        <f>igre_en[Play Time]/SQRT(igre_en[Max Players]*igre_en[Min Players])</f>
        <v>2.7386127875258306</v>
      </c>
    </row>
    <row r="62" spans="1:9" x14ac:dyDescent="0.3">
      <c r="A62" s="3" t="s">
        <v>104</v>
      </c>
      <c r="B62">
        <v>2019</v>
      </c>
      <c r="C62">
        <v>1</v>
      </c>
      <c r="D62">
        <v>100</v>
      </c>
      <c r="E62">
        <v>45</v>
      </c>
      <c r="F62">
        <v>776</v>
      </c>
      <c r="G62">
        <v>191</v>
      </c>
      <c r="H62" s="3" t="s">
        <v>40</v>
      </c>
      <c r="I62" s="4">
        <f>igre_en[Play Time]/SQRT(igre_en[Max Players]*igre_en[Min Players])</f>
        <v>4.5</v>
      </c>
    </row>
    <row r="63" spans="1:9" x14ac:dyDescent="0.3">
      <c r="A63" s="3" t="s">
        <v>402</v>
      </c>
      <c r="B63">
        <v>2009</v>
      </c>
      <c r="C63">
        <v>1</v>
      </c>
      <c r="D63">
        <v>6</v>
      </c>
      <c r="E63">
        <v>60</v>
      </c>
      <c r="F63">
        <v>665</v>
      </c>
      <c r="G63">
        <v>166</v>
      </c>
      <c r="H63" s="3" t="s">
        <v>40</v>
      </c>
      <c r="I63" s="4">
        <f>igre_en[Play Time]/SQRT(igre_en[Max Players]*igre_en[Min Players])</f>
        <v>24.494897427831784</v>
      </c>
    </row>
    <row r="64" spans="1:9" x14ac:dyDescent="0.3">
      <c r="A64" s="3" t="s">
        <v>157</v>
      </c>
      <c r="B64">
        <v>2014</v>
      </c>
      <c r="C64">
        <v>1</v>
      </c>
      <c r="D64">
        <v>4</v>
      </c>
      <c r="E64">
        <v>90</v>
      </c>
      <c r="F64">
        <v>756</v>
      </c>
      <c r="G64">
        <v>266</v>
      </c>
      <c r="H64" s="3" t="s">
        <v>9</v>
      </c>
      <c r="I64" s="4">
        <f>igre_en[Play Time]/SQRT(igre_en[Max Players]*igre_en[Min Players])</f>
        <v>45</v>
      </c>
    </row>
    <row r="65" spans="1:9" x14ac:dyDescent="0.3">
      <c r="A65" s="3" t="s">
        <v>292</v>
      </c>
      <c r="B65">
        <v>1995</v>
      </c>
      <c r="C65">
        <v>3</v>
      </c>
      <c r="D65">
        <v>4</v>
      </c>
      <c r="E65">
        <v>120</v>
      </c>
      <c r="F65">
        <v>715</v>
      </c>
      <c r="G65">
        <v>232</v>
      </c>
      <c r="H65" s="3" t="s">
        <v>40</v>
      </c>
      <c r="I65" s="4">
        <f>igre_en[Play Time]/SQRT(igre_en[Max Players]*igre_en[Min Players])</f>
        <v>34.641016151377549</v>
      </c>
    </row>
    <row r="66" spans="1:9" x14ac:dyDescent="0.3">
      <c r="A66" s="3" t="s">
        <v>392</v>
      </c>
      <c r="B66">
        <v>1996</v>
      </c>
      <c r="C66">
        <v>2</v>
      </c>
      <c r="D66">
        <v>2</v>
      </c>
      <c r="E66">
        <v>120</v>
      </c>
      <c r="F66">
        <v>672</v>
      </c>
      <c r="G66">
        <v>245</v>
      </c>
      <c r="H66" s="3" t="s">
        <v>9</v>
      </c>
      <c r="I66" s="4">
        <f>igre_en[Play Time]/SQRT(igre_en[Max Players]*igre_en[Min Players])</f>
        <v>60</v>
      </c>
    </row>
    <row r="67" spans="1:9" x14ac:dyDescent="0.3">
      <c r="A67" s="3" t="s">
        <v>457</v>
      </c>
      <c r="B67">
        <v>2007</v>
      </c>
      <c r="C67">
        <v>1</v>
      </c>
      <c r="D67">
        <v>4</v>
      </c>
      <c r="E67">
        <v>15</v>
      </c>
      <c r="F67">
        <v>570</v>
      </c>
      <c r="G67">
        <v>123</v>
      </c>
      <c r="H67" s="3" t="s">
        <v>40</v>
      </c>
      <c r="I67" s="4">
        <f>igre_en[Play Time]/SQRT(igre_en[Max Players]*igre_en[Min Players])</f>
        <v>7.5</v>
      </c>
    </row>
    <row r="68" spans="1:9" x14ac:dyDescent="0.3">
      <c r="A68" s="3" t="s">
        <v>280</v>
      </c>
      <c r="B68">
        <v>2017</v>
      </c>
      <c r="C68">
        <v>1</v>
      </c>
      <c r="D68">
        <v>2</v>
      </c>
      <c r="E68">
        <v>40</v>
      </c>
      <c r="F68">
        <v>719</v>
      </c>
      <c r="G68">
        <v>258</v>
      </c>
      <c r="H68" s="3" t="s">
        <v>9</v>
      </c>
      <c r="I68" s="4">
        <f>igre_en[Play Time]/SQRT(igre_en[Max Players]*igre_en[Min Players])</f>
        <v>28.284271247461898</v>
      </c>
    </row>
    <row r="69" spans="1:9" x14ac:dyDescent="0.3">
      <c r="A69" s="3" t="s">
        <v>55</v>
      </c>
      <c r="B69">
        <v>2013</v>
      </c>
      <c r="C69">
        <v>1</v>
      </c>
      <c r="D69">
        <v>7</v>
      </c>
      <c r="E69">
        <v>210</v>
      </c>
      <c r="F69">
        <v>802</v>
      </c>
      <c r="G69">
        <v>379</v>
      </c>
      <c r="H69" s="3" t="s">
        <v>9</v>
      </c>
      <c r="I69" s="4">
        <f>igre_en[Play Time]/SQRT(igre_en[Max Players]*igre_en[Min Players])</f>
        <v>79.372539331937716</v>
      </c>
    </row>
    <row r="70" spans="1:9" x14ac:dyDescent="0.3">
      <c r="A70" s="3" t="s">
        <v>102</v>
      </c>
      <c r="B70">
        <v>2005</v>
      </c>
      <c r="C70">
        <v>2</v>
      </c>
      <c r="D70">
        <v>5</v>
      </c>
      <c r="E70">
        <v>150</v>
      </c>
      <c r="F70">
        <v>777</v>
      </c>
      <c r="G70">
        <v>380</v>
      </c>
      <c r="H70" s="3" t="s">
        <v>9</v>
      </c>
      <c r="I70" s="4">
        <f>igre_en[Play Time]/SQRT(igre_en[Max Players]*igre_en[Min Players])</f>
        <v>47.434164902525687</v>
      </c>
    </row>
    <row r="71" spans="1:9" x14ac:dyDescent="0.3">
      <c r="A71" s="3" t="s">
        <v>352</v>
      </c>
      <c r="B71">
        <v>2015</v>
      </c>
      <c r="C71">
        <v>2</v>
      </c>
      <c r="D71">
        <v>6</v>
      </c>
      <c r="E71">
        <v>30</v>
      </c>
      <c r="F71">
        <v>698</v>
      </c>
      <c r="G71">
        <v>133</v>
      </c>
      <c r="H71" s="3" t="s">
        <v>40</v>
      </c>
      <c r="I71" s="4">
        <f>igre_en[Play Time]/SQRT(igre_en[Max Players]*igre_en[Min Players])</f>
        <v>8.6602540378443873</v>
      </c>
    </row>
    <row r="72" spans="1:9" x14ac:dyDescent="0.3">
      <c r="A72" s="3" t="s">
        <v>269</v>
      </c>
      <c r="B72">
        <v>2018</v>
      </c>
      <c r="C72">
        <v>2</v>
      </c>
      <c r="D72">
        <v>4</v>
      </c>
      <c r="E72">
        <v>45</v>
      </c>
      <c r="F72">
        <v>722</v>
      </c>
      <c r="G72">
        <v>209</v>
      </c>
      <c r="H72" s="3" t="s">
        <v>40</v>
      </c>
      <c r="I72" s="4">
        <f>igre_en[Play Time]/SQRT(igre_en[Max Players]*igre_en[Min Players])</f>
        <v>15.909902576697318</v>
      </c>
    </row>
    <row r="73" spans="1:9" x14ac:dyDescent="0.3">
      <c r="A73" s="3" t="s">
        <v>114</v>
      </c>
      <c r="B73">
        <v>2017</v>
      </c>
      <c r="C73">
        <v>2</v>
      </c>
      <c r="D73">
        <v>5</v>
      </c>
      <c r="E73">
        <v>45</v>
      </c>
      <c r="F73">
        <v>771</v>
      </c>
      <c r="G73">
        <v>165</v>
      </c>
      <c r="H73" s="3" t="s">
        <v>40</v>
      </c>
      <c r="I73" s="4">
        <f>igre_en[Play Time]/SQRT(igre_en[Max Players]*igre_en[Min Players])</f>
        <v>14.230249470757705</v>
      </c>
    </row>
    <row r="74" spans="1:9" x14ac:dyDescent="0.3">
      <c r="A74" s="3" t="s">
        <v>219</v>
      </c>
      <c r="B74">
        <v>2017</v>
      </c>
      <c r="C74">
        <v>2</v>
      </c>
      <c r="D74">
        <v>5</v>
      </c>
      <c r="E74">
        <v>45</v>
      </c>
      <c r="F74">
        <v>737</v>
      </c>
      <c r="G74">
        <v>177</v>
      </c>
      <c r="H74" s="3" t="s">
        <v>40</v>
      </c>
      <c r="I74" s="4">
        <f>igre_en[Play Time]/SQRT(igre_en[Max Players]*igre_en[Min Players])</f>
        <v>14.230249470757705</v>
      </c>
    </row>
    <row r="75" spans="1:9" x14ac:dyDescent="0.3">
      <c r="A75" s="3" t="s">
        <v>99</v>
      </c>
      <c r="B75">
        <v>2015</v>
      </c>
      <c r="C75">
        <v>2</v>
      </c>
      <c r="D75">
        <v>4</v>
      </c>
      <c r="E75">
        <v>90</v>
      </c>
      <c r="F75">
        <v>777</v>
      </c>
      <c r="G75">
        <v>259</v>
      </c>
      <c r="H75" s="3" t="s">
        <v>9</v>
      </c>
      <c r="I75" s="4">
        <f>igre_en[Play Time]/SQRT(igre_en[Max Players]*igre_en[Min Players])</f>
        <v>31.819805153394636</v>
      </c>
    </row>
    <row r="76" spans="1:9" x14ac:dyDescent="0.3">
      <c r="A76" s="3" t="s">
        <v>122</v>
      </c>
      <c r="B76">
        <v>2009</v>
      </c>
      <c r="C76">
        <v>3</v>
      </c>
      <c r="D76">
        <v>4</v>
      </c>
      <c r="E76">
        <v>120</v>
      </c>
      <c r="F76">
        <v>768</v>
      </c>
      <c r="G76">
        <v>319</v>
      </c>
      <c r="H76" s="3" t="s">
        <v>9</v>
      </c>
      <c r="I76" s="4">
        <f>igre_en[Play Time]/SQRT(igre_en[Max Players]*igre_en[Min Players])</f>
        <v>34.641016151377549</v>
      </c>
    </row>
    <row r="77" spans="1:9" x14ac:dyDescent="0.3">
      <c r="A77" s="3" t="s">
        <v>218</v>
      </c>
      <c r="B77">
        <v>2017</v>
      </c>
      <c r="C77">
        <v>1</v>
      </c>
      <c r="D77">
        <v>6</v>
      </c>
      <c r="E77">
        <v>75</v>
      </c>
      <c r="F77">
        <v>738</v>
      </c>
      <c r="G77">
        <v>282</v>
      </c>
      <c r="H77" s="3" t="s">
        <v>9</v>
      </c>
      <c r="I77" s="4">
        <f>igre_en[Play Time]/SQRT(igre_en[Max Players]*igre_en[Min Players])</f>
        <v>30.618621784789728</v>
      </c>
    </row>
    <row r="78" spans="1:9" x14ac:dyDescent="0.3">
      <c r="A78" s="3" t="s">
        <v>303</v>
      </c>
      <c r="B78">
        <v>1475</v>
      </c>
      <c r="C78">
        <v>2</v>
      </c>
      <c r="D78">
        <v>2</v>
      </c>
      <c r="E78">
        <v>60</v>
      </c>
      <c r="F78">
        <v>713</v>
      </c>
      <c r="G78">
        <v>370</v>
      </c>
      <c r="H78" s="3" t="s">
        <v>84</v>
      </c>
      <c r="I78" s="4">
        <f>igre_en[Play Time]/SQRT(igre_en[Max Players]*igre_en[Min Players])</f>
        <v>30</v>
      </c>
    </row>
    <row r="79" spans="1:9" x14ac:dyDescent="0.3">
      <c r="A79" s="3" t="s">
        <v>231</v>
      </c>
      <c r="B79">
        <v>1999</v>
      </c>
      <c r="C79">
        <v>3</v>
      </c>
      <c r="D79">
        <v>5</v>
      </c>
      <c r="E79">
        <v>60</v>
      </c>
      <c r="F79">
        <v>733</v>
      </c>
      <c r="G79">
        <v>228</v>
      </c>
      <c r="H79" s="3" t="s">
        <v>9</v>
      </c>
      <c r="I79" s="4">
        <f>igre_en[Play Time]/SQRT(igre_en[Max Players]*igre_en[Min Players])</f>
        <v>15.491933384829666</v>
      </c>
    </row>
    <row r="80" spans="1:9" x14ac:dyDescent="0.3">
      <c r="A80" s="3" t="s">
        <v>89</v>
      </c>
      <c r="B80">
        <v>2018</v>
      </c>
      <c r="C80">
        <v>1</v>
      </c>
      <c r="D80">
        <v>4</v>
      </c>
      <c r="E80">
        <v>90</v>
      </c>
      <c r="F80">
        <v>780</v>
      </c>
      <c r="G80">
        <v>211</v>
      </c>
      <c r="H80" s="3" t="s">
        <v>12</v>
      </c>
      <c r="I80" s="4">
        <f>igre_en[Play Time]/SQRT(igre_en[Max Players]*igre_en[Min Players])</f>
        <v>45</v>
      </c>
    </row>
    <row r="81" spans="1:9" x14ac:dyDescent="0.3">
      <c r="A81" s="3" t="s">
        <v>238</v>
      </c>
      <c r="B81">
        <v>2016</v>
      </c>
      <c r="C81">
        <v>2</v>
      </c>
      <c r="D81">
        <v>8</v>
      </c>
      <c r="E81">
        <v>60</v>
      </c>
      <c r="F81">
        <v>731</v>
      </c>
      <c r="G81">
        <v>2</v>
      </c>
      <c r="H81" s="3" t="s">
        <v>40</v>
      </c>
      <c r="I81" s="4">
        <f>igre_en[Play Time]/SQRT(igre_en[Max Players]*igre_en[Min Players])</f>
        <v>15</v>
      </c>
    </row>
    <row r="82" spans="1:9" x14ac:dyDescent="0.3">
      <c r="A82" s="3" t="s">
        <v>238</v>
      </c>
      <c r="B82">
        <v>2000</v>
      </c>
      <c r="C82">
        <v>2</v>
      </c>
      <c r="D82">
        <v>8</v>
      </c>
      <c r="E82">
        <v>60</v>
      </c>
      <c r="F82">
        <v>708</v>
      </c>
      <c r="G82">
        <v>205</v>
      </c>
      <c r="H82" s="3" t="s">
        <v>40</v>
      </c>
      <c r="I82" s="4">
        <f>igre_en[Play Time]/SQRT(igre_en[Max Players]*igre_en[Min Players])</f>
        <v>15</v>
      </c>
    </row>
    <row r="83" spans="1:9" x14ac:dyDescent="0.3">
      <c r="A83" s="3" t="s">
        <v>178</v>
      </c>
      <c r="B83">
        <v>1980</v>
      </c>
      <c r="C83">
        <v>2</v>
      </c>
      <c r="D83">
        <v>7</v>
      </c>
      <c r="E83">
        <v>360</v>
      </c>
      <c r="F83">
        <v>750</v>
      </c>
      <c r="G83">
        <v>366</v>
      </c>
      <c r="H83" s="3" t="s">
        <v>9</v>
      </c>
      <c r="I83" s="4">
        <f>igre_en[Play Time]/SQRT(igre_en[Max Players]*igre_en[Min Players])</f>
        <v>96.214047088472782</v>
      </c>
    </row>
    <row r="84" spans="1:9" x14ac:dyDescent="0.3">
      <c r="A84" s="3" t="s">
        <v>57</v>
      </c>
      <c r="B84">
        <v>2017</v>
      </c>
      <c r="C84">
        <v>1</v>
      </c>
      <c r="D84">
        <v>4</v>
      </c>
      <c r="E84">
        <v>120</v>
      </c>
      <c r="F84">
        <v>801</v>
      </c>
      <c r="G84">
        <v>346</v>
      </c>
      <c r="H84" s="3" t="s">
        <v>9</v>
      </c>
      <c r="I84" s="4">
        <f>igre_en[Play Time]/SQRT(igre_en[Max Players]*igre_en[Min Players])</f>
        <v>60</v>
      </c>
    </row>
    <row r="85" spans="1:9" x14ac:dyDescent="0.3">
      <c r="A85" s="3" t="s">
        <v>461</v>
      </c>
      <c r="B85">
        <v>1949</v>
      </c>
      <c r="C85">
        <v>2</v>
      </c>
      <c r="D85">
        <v>6</v>
      </c>
      <c r="E85">
        <v>45</v>
      </c>
      <c r="F85">
        <v>567</v>
      </c>
      <c r="G85">
        <v>166</v>
      </c>
      <c r="H85" s="3" t="s">
        <v>40</v>
      </c>
      <c r="I85" s="4">
        <f>igre_en[Play Time]/SQRT(igre_en[Max Players]*igre_en[Min Players])</f>
        <v>12.99038105676658</v>
      </c>
    </row>
    <row r="86" spans="1:9" x14ac:dyDescent="0.3">
      <c r="A86" s="3" t="s">
        <v>394</v>
      </c>
      <c r="B86">
        <v>2004</v>
      </c>
      <c r="C86">
        <v>2</v>
      </c>
      <c r="D86">
        <v>6</v>
      </c>
      <c r="E86">
        <v>20</v>
      </c>
      <c r="F86">
        <v>671</v>
      </c>
      <c r="G86">
        <v>112</v>
      </c>
      <c r="H86" s="3" t="s">
        <v>95</v>
      </c>
      <c r="I86" s="4">
        <f>igre_en[Play Time]/SQRT(igre_en[Max Players]*igre_en[Min Players])</f>
        <v>5.7735026918962582</v>
      </c>
    </row>
    <row r="87" spans="1:9" x14ac:dyDescent="0.3">
      <c r="A87" s="3" t="s">
        <v>138</v>
      </c>
      <c r="B87">
        <v>2015</v>
      </c>
      <c r="C87">
        <v>2</v>
      </c>
      <c r="D87">
        <v>8</v>
      </c>
      <c r="E87">
        <v>15</v>
      </c>
      <c r="F87">
        <v>762</v>
      </c>
      <c r="G87">
        <v>129</v>
      </c>
      <c r="H87" s="3" t="s">
        <v>95</v>
      </c>
      <c r="I87" s="4">
        <f>igre_en[Play Time]/SQRT(igre_en[Max Players]*igre_en[Min Players])</f>
        <v>3.75</v>
      </c>
    </row>
    <row r="88" spans="1:9" x14ac:dyDescent="0.3">
      <c r="A88" s="3" t="s">
        <v>152</v>
      </c>
      <c r="B88">
        <v>2017</v>
      </c>
      <c r="C88">
        <v>2</v>
      </c>
      <c r="D88">
        <v>99</v>
      </c>
      <c r="E88">
        <v>30</v>
      </c>
      <c r="F88">
        <v>757</v>
      </c>
      <c r="G88">
        <v>134</v>
      </c>
      <c r="H88" s="3" t="s">
        <v>40</v>
      </c>
      <c r="I88" s="4">
        <f>igre_en[Play Time]/SQRT(igre_en[Max Players]*igre_en[Min Players])</f>
        <v>2.1320071635561044</v>
      </c>
    </row>
    <row r="89" spans="1:9" x14ac:dyDescent="0.3">
      <c r="A89" s="3" t="s">
        <v>255</v>
      </c>
      <c r="B89">
        <v>2016</v>
      </c>
      <c r="C89">
        <v>2</v>
      </c>
      <c r="D89">
        <v>8</v>
      </c>
      <c r="E89">
        <v>15</v>
      </c>
      <c r="F89">
        <v>726</v>
      </c>
      <c r="G89">
        <v>127</v>
      </c>
      <c r="H89" s="3" t="s">
        <v>95</v>
      </c>
      <c r="I89" s="4">
        <f>igre_en[Play Time]/SQRT(igre_en[Max Players]*igre_en[Min Players])</f>
        <v>3.75</v>
      </c>
    </row>
    <row r="90" spans="1:9" x14ac:dyDescent="0.3">
      <c r="A90" s="3" t="s">
        <v>120</v>
      </c>
      <c r="B90">
        <v>2018</v>
      </c>
      <c r="C90">
        <v>2</v>
      </c>
      <c r="D90">
        <v>4</v>
      </c>
      <c r="E90">
        <v>90</v>
      </c>
      <c r="F90">
        <v>769</v>
      </c>
      <c r="G90">
        <v>328</v>
      </c>
      <c r="H90" s="3" t="s">
        <v>9</v>
      </c>
      <c r="I90" s="4">
        <f>igre_en[Play Time]/SQRT(igre_en[Max Players]*igre_en[Min Players])</f>
        <v>31.819805153394636</v>
      </c>
    </row>
    <row r="91" spans="1:9" x14ac:dyDescent="0.3">
      <c r="A91" s="3" t="s">
        <v>353</v>
      </c>
      <c r="B91">
        <v>2003</v>
      </c>
      <c r="C91">
        <v>2</v>
      </c>
      <c r="D91">
        <v>5</v>
      </c>
      <c r="E91">
        <v>30</v>
      </c>
      <c r="F91">
        <v>697</v>
      </c>
      <c r="G91">
        <v>128</v>
      </c>
      <c r="H91" s="3" t="s">
        <v>40</v>
      </c>
      <c r="I91" s="4">
        <f>igre_en[Play Time]/SQRT(igre_en[Max Players]*igre_en[Min Players])</f>
        <v>9.4868329805051381</v>
      </c>
    </row>
    <row r="92" spans="1:9" x14ac:dyDescent="0.3">
      <c r="A92" s="3" t="s">
        <v>305</v>
      </c>
      <c r="B92">
        <v>2014</v>
      </c>
      <c r="C92">
        <v>2</v>
      </c>
      <c r="D92">
        <v>6</v>
      </c>
      <c r="E92">
        <v>40</v>
      </c>
      <c r="F92">
        <v>712</v>
      </c>
      <c r="G92">
        <v>182</v>
      </c>
      <c r="H92" s="3" t="s">
        <v>40</v>
      </c>
      <c r="I92" s="4">
        <f>igre_en[Play Time]/SQRT(igre_en[Max Players]*igre_en[Min Players])</f>
        <v>11.547005383792516</v>
      </c>
    </row>
    <row r="93" spans="1:9" x14ac:dyDescent="0.3">
      <c r="A93" s="3" t="s">
        <v>96</v>
      </c>
      <c r="B93">
        <v>2006</v>
      </c>
      <c r="C93">
        <v>2</v>
      </c>
      <c r="D93">
        <v>2</v>
      </c>
      <c r="E93">
        <v>60</v>
      </c>
      <c r="F93">
        <v>778</v>
      </c>
      <c r="G93">
        <v>269</v>
      </c>
      <c r="H93" s="3" t="s">
        <v>97</v>
      </c>
      <c r="I93" s="4">
        <f>igre_en[Play Time]/SQRT(igre_en[Max Players]*igre_en[Min Players])</f>
        <v>30</v>
      </c>
    </row>
    <row r="94" spans="1:9" x14ac:dyDescent="0.3">
      <c r="A94" s="3" t="s">
        <v>383</v>
      </c>
      <c r="B94">
        <v>2013</v>
      </c>
      <c r="C94">
        <v>4</v>
      </c>
      <c r="D94">
        <v>12</v>
      </c>
      <c r="E94">
        <v>40</v>
      </c>
      <c r="F94">
        <v>682</v>
      </c>
      <c r="G94">
        <v>140</v>
      </c>
      <c r="H94" s="3" t="s">
        <v>95</v>
      </c>
      <c r="I94" s="4">
        <f>igre_en[Play Time]/SQRT(igre_en[Max Players]*igre_en[Min Players])</f>
        <v>5.7735026918962582</v>
      </c>
    </row>
    <row r="95" spans="1:9" x14ac:dyDescent="0.3">
      <c r="A95" s="3" t="s">
        <v>37</v>
      </c>
      <c r="B95">
        <v>2013</v>
      </c>
      <c r="C95">
        <v>2</v>
      </c>
      <c r="D95">
        <v>5</v>
      </c>
      <c r="E95">
        <v>100</v>
      </c>
      <c r="F95">
        <v>812</v>
      </c>
      <c r="G95">
        <v>303</v>
      </c>
      <c r="H95" s="3" t="s">
        <v>9</v>
      </c>
      <c r="I95" s="4">
        <f>igre_en[Play Time]/SQRT(igre_en[Max Players]*igre_en[Min Players])</f>
        <v>31.622776601683793</v>
      </c>
    </row>
    <row r="96" spans="1:9" x14ac:dyDescent="0.3">
      <c r="A96" s="3" t="s">
        <v>379</v>
      </c>
      <c r="B96">
        <v>1995</v>
      </c>
      <c r="C96">
        <v>2</v>
      </c>
      <c r="D96">
        <v>6</v>
      </c>
      <c r="E96">
        <v>45</v>
      </c>
      <c r="F96">
        <v>683</v>
      </c>
      <c r="G96">
        <v>196</v>
      </c>
      <c r="H96" s="3" t="s">
        <v>9</v>
      </c>
      <c r="I96" s="4">
        <f>igre_en[Play Time]/SQRT(igre_en[Max Players]*igre_en[Min Players])</f>
        <v>12.99038105676658</v>
      </c>
    </row>
    <row r="97" spans="1:9" x14ac:dyDescent="0.3">
      <c r="A97" s="3" t="s">
        <v>163</v>
      </c>
      <c r="B97">
        <v>2008</v>
      </c>
      <c r="C97">
        <v>3</v>
      </c>
      <c r="D97">
        <v>5</v>
      </c>
      <c r="E97">
        <v>120</v>
      </c>
      <c r="F97">
        <v>754</v>
      </c>
      <c r="G97">
        <v>257</v>
      </c>
      <c r="H97" s="3" t="s">
        <v>9</v>
      </c>
      <c r="I97" s="4">
        <f>igre_en[Play Time]/SQRT(igre_en[Max Players]*igre_en[Min Players])</f>
        <v>30.983866769659333</v>
      </c>
    </row>
    <row r="98" spans="1:9" x14ac:dyDescent="0.3">
      <c r="A98" s="3" t="s">
        <v>368</v>
      </c>
      <c r="B98">
        <v>2016</v>
      </c>
      <c r="C98">
        <v>1</v>
      </c>
      <c r="D98">
        <v>4</v>
      </c>
      <c r="E98">
        <v>60</v>
      </c>
      <c r="F98">
        <v>691</v>
      </c>
      <c r="G98">
        <v>190</v>
      </c>
      <c r="H98" s="3" t="s">
        <v>40</v>
      </c>
      <c r="I98" s="4">
        <f>igre_en[Play Time]/SQRT(igre_en[Max Players]*igre_en[Min Players])</f>
        <v>30</v>
      </c>
    </row>
    <row r="99" spans="1:9" x14ac:dyDescent="0.3">
      <c r="A99" s="3" t="s">
        <v>345</v>
      </c>
      <c r="B99">
        <v>2012</v>
      </c>
      <c r="C99">
        <v>2</v>
      </c>
      <c r="D99">
        <v>6</v>
      </c>
      <c r="E99">
        <v>15</v>
      </c>
      <c r="F99">
        <v>701</v>
      </c>
      <c r="G99">
        <v>141</v>
      </c>
      <c r="H99" s="3" t="s">
        <v>95</v>
      </c>
      <c r="I99" s="4">
        <f>igre_en[Play Time]/SQRT(igre_en[Max Players]*igre_en[Min Players])</f>
        <v>4.3301270189221936</v>
      </c>
    </row>
    <row r="100" spans="1:9" x14ac:dyDescent="0.3">
      <c r="A100" s="3" t="s">
        <v>459</v>
      </c>
      <c r="B100">
        <v>1998</v>
      </c>
      <c r="C100">
        <v>4</v>
      </c>
      <c r="D100">
        <v>16</v>
      </c>
      <c r="E100">
        <v>60</v>
      </c>
      <c r="F100">
        <v>568</v>
      </c>
      <c r="G100">
        <v>143</v>
      </c>
      <c r="H100" s="3" t="s">
        <v>95</v>
      </c>
      <c r="I100" s="4">
        <f>igre_en[Play Time]/SQRT(igre_en[Max Players]*igre_en[Min Players])</f>
        <v>7.5</v>
      </c>
    </row>
    <row r="101" spans="1:9" x14ac:dyDescent="0.3">
      <c r="A101" s="3" t="s">
        <v>333</v>
      </c>
      <c r="B101">
        <v>1630</v>
      </c>
      <c r="C101">
        <v>2</v>
      </c>
      <c r="D101">
        <v>4</v>
      </c>
      <c r="E101">
        <v>30</v>
      </c>
      <c r="F101">
        <v>705</v>
      </c>
      <c r="G101">
        <v>190</v>
      </c>
      <c r="H101" s="3" t="s">
        <v>84</v>
      </c>
      <c r="I101" s="4">
        <f>igre_en[Play Time]/SQRT(igre_en[Max Players]*igre_en[Min Players])</f>
        <v>10.606601717798211</v>
      </c>
    </row>
    <row r="102" spans="1:9" x14ac:dyDescent="0.3">
      <c r="A102" s="3" t="s">
        <v>65</v>
      </c>
      <c r="B102">
        <v>1876</v>
      </c>
      <c r="C102">
        <v>2</v>
      </c>
      <c r="D102">
        <v>4</v>
      </c>
      <c r="E102">
        <v>30</v>
      </c>
      <c r="F102">
        <v>791</v>
      </c>
      <c r="G102">
        <v>125</v>
      </c>
      <c r="H102" s="3" t="s">
        <v>40</v>
      </c>
      <c r="I102" s="4">
        <f>igre_en[Play Time]/SQRT(igre_en[Max Players]*igre_en[Min Players])</f>
        <v>10.606601717798211</v>
      </c>
    </row>
    <row r="103" spans="1:9" x14ac:dyDescent="0.3">
      <c r="A103" s="3" t="s">
        <v>175</v>
      </c>
      <c r="B103">
        <v>2018</v>
      </c>
      <c r="C103">
        <v>3</v>
      </c>
      <c r="D103">
        <v>5</v>
      </c>
      <c r="E103">
        <v>50</v>
      </c>
      <c r="F103">
        <v>752</v>
      </c>
      <c r="G103">
        <v>221</v>
      </c>
      <c r="H103" s="3" t="s">
        <v>40</v>
      </c>
      <c r="I103" s="4">
        <f>igre_en[Play Time]/SQRT(igre_en[Max Players]*igre_en[Min Players])</f>
        <v>12.909944487358056</v>
      </c>
    </row>
    <row r="104" spans="1:9" x14ac:dyDescent="0.3">
      <c r="A104" s="3" t="s">
        <v>173</v>
      </c>
      <c r="B104">
        <v>2009</v>
      </c>
      <c r="C104">
        <v>2</v>
      </c>
      <c r="D104">
        <v>5</v>
      </c>
      <c r="E104">
        <v>90</v>
      </c>
      <c r="F104">
        <v>752</v>
      </c>
      <c r="G104">
        <v>283</v>
      </c>
      <c r="H104" s="3" t="s">
        <v>9</v>
      </c>
      <c r="I104" s="4">
        <f>igre_en[Play Time]/SQRT(igre_en[Max Players]*igre_en[Min Players])</f>
        <v>28.460498941515411</v>
      </c>
    </row>
    <row r="105" spans="1:9" x14ac:dyDescent="0.3">
      <c r="A105" s="3" t="s">
        <v>324</v>
      </c>
      <c r="B105">
        <v>2012</v>
      </c>
      <c r="C105">
        <v>2</v>
      </c>
      <c r="D105">
        <v>5</v>
      </c>
      <c r="E105">
        <v>45</v>
      </c>
      <c r="F105">
        <v>705</v>
      </c>
      <c r="G105">
        <v>200</v>
      </c>
      <c r="H105" s="3" t="s">
        <v>12</v>
      </c>
      <c r="I105" s="4">
        <f>igre_en[Play Time]/SQRT(igre_en[Max Players]*igre_en[Min Players])</f>
        <v>14.230249470757705</v>
      </c>
    </row>
    <row r="106" spans="1:9" x14ac:dyDescent="0.3">
      <c r="A106" s="3" t="s">
        <v>128</v>
      </c>
      <c r="B106">
        <v>2016</v>
      </c>
      <c r="C106">
        <v>2</v>
      </c>
      <c r="D106">
        <v>5</v>
      </c>
      <c r="E106">
        <v>120</v>
      </c>
      <c r="F106">
        <v>765</v>
      </c>
      <c r="G106">
        <v>342</v>
      </c>
      <c r="H106" s="3" t="s">
        <v>12</v>
      </c>
      <c r="I106" s="4">
        <f>igre_en[Play Time]/SQRT(igre_en[Max Players]*igre_en[Min Players])</f>
        <v>37.947331922020552</v>
      </c>
    </row>
    <row r="107" spans="1:9" x14ac:dyDescent="0.3">
      <c r="A107" s="3" t="s">
        <v>177</v>
      </c>
      <c r="B107">
        <v>2014</v>
      </c>
      <c r="C107">
        <v>4</v>
      </c>
      <c r="D107">
        <v>12</v>
      </c>
      <c r="E107">
        <v>20</v>
      </c>
      <c r="F107">
        <v>750</v>
      </c>
      <c r="G107">
        <v>160</v>
      </c>
      <c r="H107" s="3" t="s">
        <v>95</v>
      </c>
      <c r="I107" s="4">
        <f>igre_en[Play Time]/SQRT(igre_en[Max Players]*igre_en[Min Players])</f>
        <v>2.8867513459481291</v>
      </c>
    </row>
    <row r="108" spans="1:9" x14ac:dyDescent="0.3">
      <c r="A108" s="3" t="s">
        <v>94</v>
      </c>
      <c r="B108">
        <v>2018</v>
      </c>
      <c r="C108">
        <v>3</v>
      </c>
      <c r="D108">
        <v>8</v>
      </c>
      <c r="E108">
        <v>45</v>
      </c>
      <c r="F108">
        <v>779</v>
      </c>
      <c r="G108">
        <v>183</v>
      </c>
      <c r="H108" s="3" t="s">
        <v>95</v>
      </c>
      <c r="I108" s="4">
        <f>igre_en[Play Time]/SQRT(igre_en[Max Players]*igre_en[Min Players])</f>
        <v>9.1855865354369186</v>
      </c>
    </row>
    <row r="109" spans="1:9" x14ac:dyDescent="0.3">
      <c r="A109" s="3" t="s">
        <v>348</v>
      </c>
      <c r="B109">
        <v>2014</v>
      </c>
      <c r="C109">
        <v>2</v>
      </c>
      <c r="D109">
        <v>6</v>
      </c>
      <c r="E109">
        <v>30</v>
      </c>
      <c r="F109">
        <v>699</v>
      </c>
      <c r="G109">
        <v>118</v>
      </c>
      <c r="H109" s="3" t="s">
        <v>40</v>
      </c>
      <c r="I109" s="4">
        <f>igre_en[Play Time]/SQRT(igre_en[Max Players]*igre_en[Min Players])</f>
        <v>8.6602540378443873</v>
      </c>
    </row>
    <row r="110" spans="1:9" x14ac:dyDescent="0.3">
      <c r="A110" s="3" t="s">
        <v>239</v>
      </c>
      <c r="B110">
        <v>2005</v>
      </c>
      <c r="C110">
        <v>2</v>
      </c>
      <c r="D110">
        <v>5</v>
      </c>
      <c r="E110">
        <v>240</v>
      </c>
      <c r="F110">
        <v>730</v>
      </c>
      <c r="G110">
        <v>334</v>
      </c>
      <c r="H110" s="3" t="s">
        <v>12</v>
      </c>
      <c r="I110" s="4">
        <f>igre_en[Play Time]/SQRT(igre_en[Max Players]*igre_en[Min Players])</f>
        <v>75.894663844041105</v>
      </c>
    </row>
    <row r="111" spans="1:9" x14ac:dyDescent="0.3">
      <c r="A111" s="3" t="s">
        <v>384</v>
      </c>
      <c r="B111">
        <v>2005</v>
      </c>
      <c r="C111">
        <v>3</v>
      </c>
      <c r="D111">
        <v>8</v>
      </c>
      <c r="E111">
        <v>30</v>
      </c>
      <c r="F111">
        <v>682</v>
      </c>
      <c r="G111">
        <v>111</v>
      </c>
      <c r="H111" s="3" t="s">
        <v>40</v>
      </c>
      <c r="I111" s="4">
        <f>igre_en[Play Time]/SQRT(igre_en[Max Players]*igre_en[Min Players])</f>
        <v>6.123724356957946</v>
      </c>
    </row>
    <row r="112" spans="1:9" x14ac:dyDescent="0.3">
      <c r="A112" s="3" t="s">
        <v>248</v>
      </c>
      <c r="B112">
        <v>2017</v>
      </c>
      <c r="C112">
        <v>2</v>
      </c>
      <c r="D112">
        <v>4</v>
      </c>
      <c r="E112">
        <v>45</v>
      </c>
      <c r="F112">
        <v>729</v>
      </c>
      <c r="G112">
        <v>197</v>
      </c>
      <c r="H112" s="3" t="s">
        <v>40</v>
      </c>
      <c r="I112" s="4">
        <f>igre_en[Play Time]/SQRT(igre_en[Max Players]*igre_en[Min Players])</f>
        <v>15.909902576697318</v>
      </c>
    </row>
    <row r="113" spans="1:9" x14ac:dyDescent="0.3">
      <c r="A113" s="3" t="s">
        <v>112</v>
      </c>
      <c r="B113">
        <v>2017</v>
      </c>
      <c r="C113">
        <v>1</v>
      </c>
      <c r="D113">
        <v>4</v>
      </c>
      <c r="E113">
        <v>120</v>
      </c>
      <c r="F113">
        <v>772</v>
      </c>
      <c r="G113">
        <v>304</v>
      </c>
      <c r="H113" s="3" t="s">
        <v>9</v>
      </c>
      <c r="I113" s="4">
        <f>igre_en[Play Time]/SQRT(igre_en[Max Players]*igre_en[Min Players])</f>
        <v>60</v>
      </c>
    </row>
    <row r="114" spans="1:9" x14ac:dyDescent="0.3">
      <c r="A114" s="3" t="s">
        <v>334</v>
      </c>
      <c r="B114">
        <v>1959</v>
      </c>
      <c r="C114">
        <v>2</v>
      </c>
      <c r="D114">
        <v>7</v>
      </c>
      <c r="E114">
        <v>360</v>
      </c>
      <c r="F114">
        <v>704</v>
      </c>
      <c r="G114">
        <v>336</v>
      </c>
      <c r="H114" s="3" t="s">
        <v>9</v>
      </c>
      <c r="I114" s="4">
        <f>igre_en[Play Time]/SQRT(igre_en[Max Players]*igre_en[Min Players])</f>
        <v>96.214047088472782</v>
      </c>
    </row>
    <row r="115" spans="1:9" x14ac:dyDescent="0.3">
      <c r="A115" s="3" t="s">
        <v>265</v>
      </c>
      <c r="B115">
        <v>2011</v>
      </c>
      <c r="C115">
        <v>2</v>
      </c>
      <c r="D115">
        <v>4</v>
      </c>
      <c r="E115">
        <v>60</v>
      </c>
      <c r="F115">
        <v>723</v>
      </c>
      <c r="G115">
        <v>221</v>
      </c>
      <c r="H115" s="3" t="s">
        <v>12</v>
      </c>
      <c r="I115" s="4">
        <f>igre_en[Play Time]/SQRT(igre_en[Max Players]*igre_en[Min Players])</f>
        <v>21.213203435596423</v>
      </c>
    </row>
    <row r="116" spans="1:9" x14ac:dyDescent="0.3">
      <c r="A116" s="3" t="s">
        <v>320</v>
      </c>
      <c r="B116">
        <v>2018</v>
      </c>
      <c r="C116">
        <v>2</v>
      </c>
      <c r="D116">
        <v>6</v>
      </c>
      <c r="E116">
        <v>50</v>
      </c>
      <c r="F116">
        <v>706</v>
      </c>
      <c r="G116">
        <v>241</v>
      </c>
      <c r="H116" s="3" t="s">
        <v>40</v>
      </c>
      <c r="I116" s="4">
        <f>igre_en[Play Time]/SQRT(igre_en[Max Players]*igre_en[Min Players])</f>
        <v>14.433756729740645</v>
      </c>
    </row>
    <row r="117" spans="1:9" x14ac:dyDescent="0.3">
      <c r="A117" s="3" t="s">
        <v>259</v>
      </c>
      <c r="B117">
        <v>2008</v>
      </c>
      <c r="C117">
        <v>3</v>
      </c>
      <c r="D117">
        <v>6</v>
      </c>
      <c r="E117">
        <v>30</v>
      </c>
      <c r="F117">
        <v>726</v>
      </c>
      <c r="G117">
        <v>122</v>
      </c>
      <c r="H117" s="3" t="s">
        <v>95</v>
      </c>
      <c r="I117" s="4">
        <f>igre_en[Play Time]/SQRT(igre_en[Max Players]*igre_en[Min Players])</f>
        <v>7.0710678118654755</v>
      </c>
    </row>
    <row r="118" spans="1:9" x14ac:dyDescent="0.3">
      <c r="A118" s="3" t="s">
        <v>189</v>
      </c>
      <c r="B118">
        <v>2011</v>
      </c>
      <c r="C118">
        <v>3</v>
      </c>
      <c r="D118">
        <v>12</v>
      </c>
      <c r="E118">
        <v>30</v>
      </c>
      <c r="F118">
        <v>745</v>
      </c>
      <c r="G118">
        <v>119</v>
      </c>
      <c r="H118" s="3" t="s">
        <v>95</v>
      </c>
      <c r="I118" s="4">
        <f>igre_en[Play Time]/SQRT(igre_en[Max Players]*igre_en[Min Players])</f>
        <v>5</v>
      </c>
    </row>
    <row r="119" spans="1:9" x14ac:dyDescent="0.3">
      <c r="A119" s="3" t="s">
        <v>79</v>
      </c>
      <c r="B119">
        <v>2010</v>
      </c>
      <c r="C119">
        <v>2</v>
      </c>
      <c r="D119">
        <v>6</v>
      </c>
      <c r="E119">
        <v>240</v>
      </c>
      <c r="F119">
        <v>785</v>
      </c>
      <c r="G119">
        <v>404</v>
      </c>
      <c r="H119" s="3" t="s">
        <v>9</v>
      </c>
      <c r="I119" s="4">
        <f>igre_en[Play Time]/SQRT(igre_en[Max Players]*igre_en[Min Players])</f>
        <v>69.282032302755098</v>
      </c>
    </row>
    <row r="120" spans="1:9" x14ac:dyDescent="0.3">
      <c r="A120" s="3" t="s">
        <v>139</v>
      </c>
      <c r="B120">
        <v>2008</v>
      </c>
      <c r="C120">
        <v>2</v>
      </c>
      <c r="D120">
        <v>4</v>
      </c>
      <c r="E120">
        <v>30</v>
      </c>
      <c r="F120">
        <v>762</v>
      </c>
      <c r="G120">
        <v>236</v>
      </c>
      <c r="H120" s="3" t="s">
        <v>9</v>
      </c>
      <c r="I120" s="4">
        <f>igre_en[Play Time]/SQRT(igre_en[Max Players]*igre_en[Min Players])</f>
        <v>10.606601717798211</v>
      </c>
    </row>
    <row r="121" spans="1:9" x14ac:dyDescent="0.3">
      <c r="A121" s="3" t="s">
        <v>111</v>
      </c>
      <c r="B121">
        <v>2009</v>
      </c>
      <c r="C121">
        <v>2</v>
      </c>
      <c r="D121">
        <v>4</v>
      </c>
      <c r="E121">
        <v>30</v>
      </c>
      <c r="F121">
        <v>772</v>
      </c>
      <c r="G121">
        <v>242</v>
      </c>
      <c r="H121" s="3" t="s">
        <v>9</v>
      </c>
      <c r="I121" s="4">
        <f>igre_en[Play Time]/SQRT(igre_en[Max Players]*igre_en[Min Players])</f>
        <v>10.606601717798211</v>
      </c>
    </row>
    <row r="122" spans="1:9" x14ac:dyDescent="0.3">
      <c r="A122" s="3" t="s">
        <v>464</v>
      </c>
      <c r="B122">
        <v>1500</v>
      </c>
      <c r="C122">
        <v>2</v>
      </c>
      <c r="D122">
        <v>10</v>
      </c>
      <c r="E122">
        <v>30</v>
      </c>
      <c r="F122">
        <v>547</v>
      </c>
      <c r="G122">
        <v>138</v>
      </c>
      <c r="H122" s="3" t="s">
        <v>84</v>
      </c>
      <c r="I122" s="4">
        <f>igre_en[Play Time]/SQRT(igre_en[Max Players]*igre_en[Min Players])</f>
        <v>6.7082039324993685</v>
      </c>
    </row>
    <row r="123" spans="1:9" x14ac:dyDescent="0.3">
      <c r="A123" s="3" t="s">
        <v>225</v>
      </c>
      <c r="B123">
        <v>2017</v>
      </c>
      <c r="C123">
        <v>2</v>
      </c>
      <c r="D123">
        <v>6</v>
      </c>
      <c r="E123">
        <v>40</v>
      </c>
      <c r="F123">
        <v>736</v>
      </c>
      <c r="G123">
        <v>174</v>
      </c>
      <c r="H123" s="3" t="s">
        <v>40</v>
      </c>
      <c r="I123" s="4">
        <f>igre_en[Play Time]/SQRT(igre_en[Max Players]*igre_en[Min Players])</f>
        <v>11.547005383792516</v>
      </c>
    </row>
    <row r="124" spans="1:9" x14ac:dyDescent="0.3">
      <c r="A124" s="3" t="s">
        <v>215</v>
      </c>
      <c r="B124">
        <v>2009</v>
      </c>
      <c r="C124">
        <v>2</v>
      </c>
      <c r="D124">
        <v>4</v>
      </c>
      <c r="E124">
        <v>90</v>
      </c>
      <c r="F124">
        <v>739</v>
      </c>
      <c r="G124">
        <v>356</v>
      </c>
      <c r="H124" s="3" t="s">
        <v>9</v>
      </c>
      <c r="I124" s="4">
        <f>igre_en[Play Time]/SQRT(igre_en[Max Players]*igre_en[Min Players])</f>
        <v>31.819805153394636</v>
      </c>
    </row>
    <row r="125" spans="1:9" x14ac:dyDescent="0.3">
      <c r="A125" s="3" t="s">
        <v>184</v>
      </c>
      <c r="B125">
        <v>2011</v>
      </c>
      <c r="C125">
        <v>2</v>
      </c>
      <c r="D125">
        <v>4</v>
      </c>
      <c r="E125">
        <v>90</v>
      </c>
      <c r="F125">
        <v>747</v>
      </c>
      <c r="G125">
        <v>360</v>
      </c>
      <c r="H125" s="3" t="s">
        <v>9</v>
      </c>
      <c r="I125" s="4">
        <f>igre_en[Play Time]/SQRT(igre_en[Max Players]*igre_en[Min Players])</f>
        <v>31.819805153394636</v>
      </c>
    </row>
    <row r="126" spans="1:9" x14ac:dyDescent="0.3">
      <c r="A126" s="3" t="s">
        <v>444</v>
      </c>
      <c r="B126">
        <v>2013</v>
      </c>
      <c r="C126">
        <v>1</v>
      </c>
      <c r="D126">
        <v>4</v>
      </c>
      <c r="E126">
        <v>15</v>
      </c>
      <c r="F126">
        <v>612</v>
      </c>
      <c r="G126">
        <v>133</v>
      </c>
      <c r="H126" s="3" t="s">
        <v>40</v>
      </c>
      <c r="I126" s="4">
        <f>igre_en[Play Time]/SQRT(igre_en[Max Players]*igre_en[Min Players])</f>
        <v>7.5</v>
      </c>
    </row>
    <row r="127" spans="1:9" x14ac:dyDescent="0.3">
      <c r="A127" s="3" t="s">
        <v>68</v>
      </c>
      <c r="B127">
        <v>2011</v>
      </c>
      <c r="C127">
        <v>2</v>
      </c>
      <c r="D127">
        <v>6</v>
      </c>
      <c r="E127">
        <v>180</v>
      </c>
      <c r="F127">
        <v>789</v>
      </c>
      <c r="G127">
        <v>370</v>
      </c>
      <c r="H127" s="3" t="s">
        <v>9</v>
      </c>
      <c r="I127" s="4">
        <f>igre_en[Play Time]/SQRT(igre_en[Max Players]*igre_en[Min Players])</f>
        <v>51.96152422706632</v>
      </c>
    </row>
    <row r="128" spans="1:9" x14ac:dyDescent="0.3">
      <c r="A128" s="3" t="s">
        <v>109</v>
      </c>
      <c r="B128">
        <v>1995</v>
      </c>
      <c r="C128">
        <v>2</v>
      </c>
      <c r="D128">
        <v>5</v>
      </c>
      <c r="E128">
        <v>120</v>
      </c>
      <c r="F128">
        <v>775</v>
      </c>
      <c r="G128">
        <v>305</v>
      </c>
      <c r="H128" s="3" t="s">
        <v>9</v>
      </c>
      <c r="I128" s="4">
        <f>igre_en[Play Time]/SQRT(igre_en[Max Players]*igre_en[Min Players])</f>
        <v>37.947331922020552</v>
      </c>
    </row>
    <row r="129" spans="1:9" x14ac:dyDescent="0.3">
      <c r="A129" s="3" t="s">
        <v>351</v>
      </c>
      <c r="B129">
        <v>2011</v>
      </c>
      <c r="C129">
        <v>1</v>
      </c>
      <c r="D129">
        <v>8</v>
      </c>
      <c r="E129">
        <v>90</v>
      </c>
      <c r="F129">
        <v>698</v>
      </c>
      <c r="G129">
        <v>235</v>
      </c>
      <c r="H129" s="3" t="s">
        <v>12</v>
      </c>
      <c r="I129" s="4">
        <f>igre_en[Play Time]/SQRT(igre_en[Max Players]*igre_en[Min Players])</f>
        <v>31.819805153394636</v>
      </c>
    </row>
    <row r="130" spans="1:9" x14ac:dyDescent="0.3">
      <c r="A130" s="3" t="s">
        <v>87</v>
      </c>
      <c r="B130">
        <v>2013</v>
      </c>
      <c r="C130">
        <v>1</v>
      </c>
      <c r="D130">
        <v>8</v>
      </c>
      <c r="E130">
        <v>240</v>
      </c>
      <c r="F130">
        <v>781</v>
      </c>
      <c r="G130">
        <v>332</v>
      </c>
      <c r="H130" s="3" t="s">
        <v>12</v>
      </c>
      <c r="I130" s="4">
        <f>igre_en[Play Time]/SQRT(igre_en[Max Players]*igre_en[Min Players])</f>
        <v>84.852813742385692</v>
      </c>
    </row>
    <row r="131" spans="1:9" x14ac:dyDescent="0.3">
      <c r="A131" s="3" t="s">
        <v>267</v>
      </c>
      <c r="B131">
        <v>2015</v>
      </c>
      <c r="C131">
        <v>2</v>
      </c>
      <c r="D131">
        <v>4</v>
      </c>
      <c r="E131">
        <v>60</v>
      </c>
      <c r="F131">
        <v>723</v>
      </c>
      <c r="G131">
        <v>276</v>
      </c>
      <c r="H131" s="3" t="s">
        <v>9</v>
      </c>
      <c r="I131" s="4">
        <f>igre_en[Play Time]/SQRT(igre_en[Max Players]*igre_en[Min Players])</f>
        <v>21.213203435596423</v>
      </c>
    </row>
    <row r="132" spans="1:9" x14ac:dyDescent="0.3">
      <c r="A132" s="3" t="s">
        <v>327</v>
      </c>
      <c r="B132">
        <v>2011</v>
      </c>
      <c r="C132">
        <v>2</v>
      </c>
      <c r="D132">
        <v>4</v>
      </c>
      <c r="E132">
        <v>45</v>
      </c>
      <c r="F132">
        <v>705</v>
      </c>
      <c r="G132">
        <v>250</v>
      </c>
      <c r="H132" s="3" t="s">
        <v>9</v>
      </c>
      <c r="I132" s="4">
        <f>igre_en[Play Time]/SQRT(igre_en[Max Players]*igre_en[Min Players])</f>
        <v>15.909902576697318</v>
      </c>
    </row>
    <row r="133" spans="1:9" x14ac:dyDescent="0.3">
      <c r="A133" s="3" t="s">
        <v>423</v>
      </c>
      <c r="B133">
        <v>2015</v>
      </c>
      <c r="C133">
        <v>2</v>
      </c>
      <c r="D133">
        <v>4</v>
      </c>
      <c r="E133">
        <v>40</v>
      </c>
      <c r="F133">
        <v>647</v>
      </c>
      <c r="G133">
        <v>252</v>
      </c>
      <c r="H133" s="3" t="s">
        <v>28</v>
      </c>
      <c r="I133" s="4">
        <f>igre_en[Play Time]/SQRT(igre_en[Max Players]*igre_en[Min Players])</f>
        <v>14.142135623730949</v>
      </c>
    </row>
    <row r="134" spans="1:9" x14ac:dyDescent="0.3">
      <c r="A134" s="3" t="s">
        <v>183</v>
      </c>
      <c r="B134">
        <v>2017</v>
      </c>
      <c r="C134">
        <v>2</v>
      </c>
      <c r="D134">
        <v>6</v>
      </c>
      <c r="E134">
        <v>60</v>
      </c>
      <c r="F134">
        <v>748</v>
      </c>
      <c r="G134">
        <v>203</v>
      </c>
      <c r="H134" s="3" t="s">
        <v>9</v>
      </c>
      <c r="I134" s="4">
        <f>igre_en[Play Time]/SQRT(igre_en[Max Players]*igre_en[Min Players])</f>
        <v>17.320508075688775</v>
      </c>
    </row>
    <row r="135" spans="1:9" x14ac:dyDescent="0.3">
      <c r="A135" s="3" t="s">
        <v>48</v>
      </c>
      <c r="B135">
        <v>2018</v>
      </c>
      <c r="C135">
        <v>1</v>
      </c>
      <c r="D135">
        <v>4</v>
      </c>
      <c r="E135">
        <v>80</v>
      </c>
      <c r="F135">
        <v>808</v>
      </c>
      <c r="G135">
        <v>281</v>
      </c>
      <c r="H135" s="3" t="s">
        <v>40</v>
      </c>
      <c r="I135" s="4">
        <f>igre_en[Play Time]/SQRT(igre_en[Max Players]*igre_en[Min Players])</f>
        <v>40</v>
      </c>
    </row>
    <row r="136" spans="1:9" x14ac:dyDescent="0.3">
      <c r="A136" s="3" t="s">
        <v>301</v>
      </c>
      <c r="B136">
        <v>2014</v>
      </c>
      <c r="C136">
        <v>2</v>
      </c>
      <c r="D136">
        <v>6</v>
      </c>
      <c r="E136">
        <v>60</v>
      </c>
      <c r="F136">
        <v>713</v>
      </c>
      <c r="G136">
        <v>243</v>
      </c>
      <c r="H136" s="3" t="s">
        <v>9</v>
      </c>
      <c r="I136" s="4">
        <f>igre_en[Play Time]/SQRT(igre_en[Max Players]*igre_en[Min Players])</f>
        <v>17.320508075688775</v>
      </c>
    </row>
    <row r="137" spans="1:9" x14ac:dyDescent="0.3">
      <c r="A137" s="3" t="s">
        <v>137</v>
      </c>
      <c r="B137">
        <v>2016</v>
      </c>
      <c r="C137">
        <v>2</v>
      </c>
      <c r="D137">
        <v>6</v>
      </c>
      <c r="E137">
        <v>60</v>
      </c>
      <c r="F137">
        <v>762</v>
      </c>
      <c r="G137">
        <v>278</v>
      </c>
      <c r="H137" s="3" t="s">
        <v>9</v>
      </c>
      <c r="I137" s="4">
        <f>igre_en[Play Time]/SQRT(igre_en[Max Players]*igre_en[Min Players])</f>
        <v>17.320508075688775</v>
      </c>
    </row>
    <row r="138" spans="1:9" x14ac:dyDescent="0.3">
      <c r="A138" s="3" t="s">
        <v>448</v>
      </c>
      <c r="B138">
        <v>2015</v>
      </c>
      <c r="C138">
        <v>2</v>
      </c>
      <c r="D138">
        <v>5</v>
      </c>
      <c r="E138">
        <v>15</v>
      </c>
      <c r="F138">
        <v>604</v>
      </c>
      <c r="G138">
        <v>107</v>
      </c>
      <c r="H138" s="3" t="s">
        <v>95</v>
      </c>
      <c r="I138" s="4">
        <f>igre_en[Play Time]/SQRT(igre_en[Max Players]*igre_en[Min Players])</f>
        <v>4.7434164902525691</v>
      </c>
    </row>
    <row r="139" spans="1:9" x14ac:dyDescent="0.3">
      <c r="A139" s="3" t="s">
        <v>437</v>
      </c>
      <c r="B139">
        <v>2015</v>
      </c>
      <c r="C139">
        <v>2</v>
      </c>
      <c r="D139">
        <v>5</v>
      </c>
      <c r="E139">
        <v>20</v>
      </c>
      <c r="F139">
        <v>622</v>
      </c>
      <c r="G139">
        <v>107</v>
      </c>
      <c r="H139" s="3" t="s">
        <v>95</v>
      </c>
      <c r="I139" s="4">
        <f>igre_en[Play Time]/SQRT(igre_en[Max Players]*igre_en[Min Players])</f>
        <v>6.3245553203367582</v>
      </c>
    </row>
    <row r="140" spans="1:9" x14ac:dyDescent="0.3">
      <c r="A140" s="3" t="s">
        <v>391</v>
      </c>
      <c r="B140">
        <v>2004</v>
      </c>
      <c r="C140">
        <v>2</v>
      </c>
      <c r="D140">
        <v>5</v>
      </c>
      <c r="E140">
        <v>30</v>
      </c>
      <c r="F140">
        <v>673</v>
      </c>
      <c r="G140">
        <v>177</v>
      </c>
      <c r="H140" s="3" t="s">
        <v>40</v>
      </c>
      <c r="I140" s="4">
        <f>igre_en[Play Time]/SQRT(igre_en[Max Players]*igre_en[Min Players])</f>
        <v>9.4868329805051381</v>
      </c>
    </row>
    <row r="141" spans="1:9" x14ac:dyDescent="0.3">
      <c r="A141" s="3" t="s">
        <v>362</v>
      </c>
      <c r="B141">
        <v>2017</v>
      </c>
      <c r="C141">
        <v>1</v>
      </c>
      <c r="D141">
        <v>4</v>
      </c>
      <c r="E141">
        <v>180</v>
      </c>
      <c r="F141">
        <v>694</v>
      </c>
      <c r="G141">
        <v>299</v>
      </c>
      <c r="H141" s="3" t="s">
        <v>12</v>
      </c>
      <c r="I141" s="4">
        <f>igre_en[Play Time]/SQRT(igre_en[Max Players]*igre_en[Min Players])</f>
        <v>90</v>
      </c>
    </row>
    <row r="142" spans="1:9" x14ac:dyDescent="0.3">
      <c r="A142" s="3" t="s">
        <v>45</v>
      </c>
      <c r="B142">
        <v>2014</v>
      </c>
      <c r="C142">
        <v>1</v>
      </c>
      <c r="D142">
        <v>2</v>
      </c>
      <c r="E142">
        <v>120</v>
      </c>
      <c r="F142">
        <v>809</v>
      </c>
      <c r="G142">
        <v>388</v>
      </c>
      <c r="H142" s="3" t="s">
        <v>9</v>
      </c>
      <c r="I142" s="4">
        <f>igre_en[Play Time]/SQRT(igre_en[Max Players]*igre_en[Min Players])</f>
        <v>84.852813742385692</v>
      </c>
    </row>
    <row r="143" spans="1:9" x14ac:dyDescent="0.3">
      <c r="A143" s="3" t="s">
        <v>214</v>
      </c>
      <c r="B143">
        <v>2013</v>
      </c>
      <c r="C143">
        <v>1</v>
      </c>
      <c r="D143">
        <v>4</v>
      </c>
      <c r="E143">
        <v>240</v>
      </c>
      <c r="F143">
        <v>739</v>
      </c>
      <c r="G143">
        <v>296</v>
      </c>
      <c r="H143" s="3" t="s">
        <v>12</v>
      </c>
      <c r="I143" s="4">
        <f>igre_en[Play Time]/SQRT(igre_en[Max Players]*igre_en[Min Players])</f>
        <v>120</v>
      </c>
    </row>
    <row r="144" spans="1:9" x14ac:dyDescent="0.3">
      <c r="A144" s="3" t="s">
        <v>98</v>
      </c>
      <c r="B144">
        <v>2014</v>
      </c>
      <c r="C144">
        <v>2</v>
      </c>
      <c r="D144">
        <v>4</v>
      </c>
      <c r="E144">
        <v>80</v>
      </c>
      <c r="F144">
        <v>778</v>
      </c>
      <c r="G144">
        <v>286</v>
      </c>
      <c r="H144" s="3" t="s">
        <v>9</v>
      </c>
      <c r="I144" s="4">
        <f>igre_en[Play Time]/SQRT(igre_en[Max Players]*igre_en[Min Players])</f>
        <v>28.284271247461898</v>
      </c>
    </row>
    <row r="145" spans="1:9" x14ac:dyDescent="0.3">
      <c r="A145" s="3" t="s">
        <v>158</v>
      </c>
      <c r="B145">
        <v>2016</v>
      </c>
      <c r="C145">
        <v>2</v>
      </c>
      <c r="D145">
        <v>4</v>
      </c>
      <c r="E145">
        <v>45</v>
      </c>
      <c r="F145">
        <v>756</v>
      </c>
      <c r="G145">
        <v>167</v>
      </c>
      <c r="H145" s="3" t="s">
        <v>40</v>
      </c>
      <c r="I145" s="4">
        <f>igre_en[Play Time]/SQRT(igre_en[Max Players]*igre_en[Min Players])</f>
        <v>15.909902576697318</v>
      </c>
    </row>
    <row r="146" spans="1:9" x14ac:dyDescent="0.3">
      <c r="A146" s="3" t="s">
        <v>276</v>
      </c>
      <c r="B146">
        <v>2011</v>
      </c>
      <c r="C146">
        <v>2</v>
      </c>
      <c r="D146">
        <v>6</v>
      </c>
      <c r="E146">
        <v>45</v>
      </c>
      <c r="F146">
        <v>720</v>
      </c>
      <c r="G146">
        <v>221</v>
      </c>
      <c r="H146" s="3" t="s">
        <v>40</v>
      </c>
      <c r="I146" s="4">
        <f>igre_en[Play Time]/SQRT(igre_en[Max Players]*igre_en[Min Players])</f>
        <v>12.99038105676658</v>
      </c>
    </row>
    <row r="147" spans="1:9" x14ac:dyDescent="0.3">
      <c r="A147" s="3" t="s">
        <v>357</v>
      </c>
      <c r="B147">
        <v>2015</v>
      </c>
      <c r="C147">
        <v>2</v>
      </c>
      <c r="D147">
        <v>10</v>
      </c>
      <c r="E147">
        <v>45</v>
      </c>
      <c r="F147">
        <v>695</v>
      </c>
      <c r="G147">
        <v>133</v>
      </c>
      <c r="H147" s="3" t="s">
        <v>40</v>
      </c>
      <c r="I147" s="4">
        <f>igre_en[Play Time]/SQRT(igre_en[Max Players]*igre_en[Min Players])</f>
        <v>10.062305898749052</v>
      </c>
    </row>
    <row r="148" spans="1:9" x14ac:dyDescent="0.3">
      <c r="A148" s="3" t="s">
        <v>460</v>
      </c>
      <c r="B148">
        <v>1997</v>
      </c>
      <c r="C148">
        <v>2</v>
      </c>
      <c r="D148">
        <v>6</v>
      </c>
      <c r="E148">
        <v>30</v>
      </c>
      <c r="F148">
        <v>567</v>
      </c>
      <c r="G148">
        <v>139</v>
      </c>
      <c r="H148" s="3" t="s">
        <v>40</v>
      </c>
      <c r="I148" s="4">
        <f>igre_en[Play Time]/SQRT(igre_en[Max Players]*igre_en[Min Players])</f>
        <v>8.6602540378443873</v>
      </c>
    </row>
    <row r="149" spans="1:9" x14ac:dyDescent="0.3">
      <c r="A149" s="3" t="s">
        <v>358</v>
      </c>
      <c r="B149">
        <v>2017</v>
      </c>
      <c r="C149">
        <v>2</v>
      </c>
      <c r="D149">
        <v>2</v>
      </c>
      <c r="E149">
        <v>120</v>
      </c>
      <c r="F149">
        <v>695</v>
      </c>
      <c r="G149">
        <v>225</v>
      </c>
      <c r="H149" s="3" t="s">
        <v>12</v>
      </c>
      <c r="I149" s="4">
        <f>igre_en[Play Time]/SQRT(igre_en[Max Players]*igre_en[Min Players])</f>
        <v>60</v>
      </c>
    </row>
    <row r="150" spans="1:9" x14ac:dyDescent="0.3">
      <c r="A150" s="3" t="s">
        <v>32</v>
      </c>
      <c r="B150">
        <v>2015</v>
      </c>
      <c r="C150">
        <v>2</v>
      </c>
      <c r="D150">
        <v>5</v>
      </c>
      <c r="E150">
        <v>240</v>
      </c>
      <c r="F150">
        <v>814</v>
      </c>
      <c r="G150">
        <v>420</v>
      </c>
      <c r="H150" s="3" t="s">
        <v>9</v>
      </c>
      <c r="I150" s="4">
        <f>igre_en[Play Time]/SQRT(igre_en[Max Players]*igre_en[Min Players])</f>
        <v>75.894663844041105</v>
      </c>
    </row>
    <row r="151" spans="1:9" x14ac:dyDescent="0.3">
      <c r="A151" s="3" t="s">
        <v>271</v>
      </c>
      <c r="B151">
        <v>1997</v>
      </c>
      <c r="C151">
        <v>3</v>
      </c>
      <c r="D151">
        <v>6</v>
      </c>
      <c r="E151">
        <v>30</v>
      </c>
      <c r="F151">
        <v>722</v>
      </c>
      <c r="G151">
        <v>126</v>
      </c>
      <c r="H151" s="3" t="s">
        <v>40</v>
      </c>
      <c r="I151" s="4">
        <f>igre_en[Play Time]/SQRT(igre_en[Max Players]*igre_en[Min Players])</f>
        <v>7.0710678118654755</v>
      </c>
    </row>
    <row r="152" spans="1:9" x14ac:dyDescent="0.3">
      <c r="A152" s="3" t="s">
        <v>295</v>
      </c>
      <c r="B152">
        <v>2013</v>
      </c>
      <c r="C152">
        <v>2</v>
      </c>
      <c r="D152">
        <v>5</v>
      </c>
      <c r="E152">
        <v>45</v>
      </c>
      <c r="F152">
        <v>714</v>
      </c>
      <c r="G152">
        <v>205</v>
      </c>
      <c r="H152" s="3" t="s">
        <v>40</v>
      </c>
      <c r="I152" s="4">
        <f>igre_en[Play Time]/SQRT(igre_en[Max Players]*igre_en[Min Players])</f>
        <v>14.230249470757705</v>
      </c>
    </row>
    <row r="153" spans="1:9" x14ac:dyDescent="0.3">
      <c r="A153" s="3" t="s">
        <v>385</v>
      </c>
      <c r="B153">
        <v>2010</v>
      </c>
      <c r="C153">
        <v>2</v>
      </c>
      <c r="D153">
        <v>4</v>
      </c>
      <c r="E153">
        <v>30</v>
      </c>
      <c r="F153">
        <v>679</v>
      </c>
      <c r="G153">
        <v>174</v>
      </c>
      <c r="H153" s="3" t="s">
        <v>40</v>
      </c>
      <c r="I153" s="4">
        <f>igre_en[Play Time]/SQRT(igre_en[Max Players]*igre_en[Min Players])</f>
        <v>10.606601717798211</v>
      </c>
    </row>
    <row r="154" spans="1:9" x14ac:dyDescent="0.3">
      <c r="A154" s="3" t="s">
        <v>61</v>
      </c>
      <c r="B154">
        <v>2015</v>
      </c>
      <c r="C154">
        <v>2</v>
      </c>
      <c r="D154">
        <v>4</v>
      </c>
      <c r="E154">
        <v>180</v>
      </c>
      <c r="F154">
        <v>797</v>
      </c>
      <c r="G154">
        <v>383</v>
      </c>
      <c r="H154" s="3" t="s">
        <v>9</v>
      </c>
      <c r="I154" s="4">
        <f>igre_en[Play Time]/SQRT(igre_en[Max Players]*igre_en[Min Players])</f>
        <v>63.639610306789272</v>
      </c>
    </row>
    <row r="155" spans="1:9" x14ac:dyDescent="0.3">
      <c r="A155" s="3" t="s">
        <v>341</v>
      </c>
      <c r="B155">
        <v>2008</v>
      </c>
      <c r="C155">
        <v>2</v>
      </c>
      <c r="D155">
        <v>10</v>
      </c>
      <c r="E155">
        <v>60</v>
      </c>
      <c r="F155">
        <v>702</v>
      </c>
      <c r="G155">
        <v>197</v>
      </c>
      <c r="H155" s="3" t="s">
        <v>40</v>
      </c>
      <c r="I155" s="4">
        <f>igre_en[Play Time]/SQRT(igre_en[Max Players]*igre_en[Min Players])</f>
        <v>13.416407864998737</v>
      </c>
    </row>
    <row r="156" spans="1:9" x14ac:dyDescent="0.3">
      <c r="A156" s="3" t="s">
        <v>249</v>
      </c>
      <c r="B156">
        <v>2010</v>
      </c>
      <c r="C156">
        <v>2</v>
      </c>
      <c r="D156">
        <v>4</v>
      </c>
      <c r="E156">
        <v>60</v>
      </c>
      <c r="F156">
        <v>729</v>
      </c>
      <c r="G156">
        <v>264</v>
      </c>
      <c r="H156" s="3" t="s">
        <v>40</v>
      </c>
      <c r="I156" s="4">
        <f>igre_en[Play Time]/SQRT(igre_en[Max Players]*igre_en[Min Players])</f>
        <v>21.213203435596423</v>
      </c>
    </row>
    <row r="157" spans="1:9" x14ac:dyDescent="0.3">
      <c r="A157" s="3" t="s">
        <v>298</v>
      </c>
      <c r="B157">
        <v>2011</v>
      </c>
      <c r="C157">
        <v>1</v>
      </c>
      <c r="D157">
        <v>1</v>
      </c>
      <c r="E157">
        <v>25</v>
      </c>
      <c r="F157">
        <v>714</v>
      </c>
      <c r="G157">
        <v>214</v>
      </c>
      <c r="H157" s="3" t="s">
        <v>9</v>
      </c>
      <c r="I157" s="4">
        <f>igre_en[Play Time]/SQRT(igre_en[Max Players]*igre_en[Min Players])</f>
        <v>25</v>
      </c>
    </row>
    <row r="158" spans="1:9" x14ac:dyDescent="0.3">
      <c r="A158" s="3" t="s">
        <v>323</v>
      </c>
      <c r="B158">
        <v>2015</v>
      </c>
      <c r="C158">
        <v>1</v>
      </c>
      <c r="D158">
        <v>5</v>
      </c>
      <c r="E158">
        <v>10</v>
      </c>
      <c r="F158">
        <v>706</v>
      </c>
      <c r="G158">
        <v>167</v>
      </c>
      <c r="H158" s="3" t="s">
        <v>40</v>
      </c>
      <c r="I158" s="4">
        <f>igre_en[Play Time]/SQRT(igre_en[Max Players]*igre_en[Min Players])</f>
        <v>4.4721359549995796</v>
      </c>
    </row>
    <row r="159" spans="1:9" x14ac:dyDescent="0.3">
      <c r="A159" s="3" t="s">
        <v>15</v>
      </c>
      <c r="B159">
        <v>2017</v>
      </c>
      <c r="C159">
        <v>1</v>
      </c>
      <c r="D159">
        <v>4</v>
      </c>
      <c r="E159">
        <v>150</v>
      </c>
      <c r="F159">
        <v>849</v>
      </c>
      <c r="G159">
        <v>435</v>
      </c>
      <c r="H159" s="3" t="s">
        <v>9</v>
      </c>
      <c r="I159" s="4">
        <f>igre_en[Play Time]/SQRT(igre_en[Max Players]*igre_en[Min Players])</f>
        <v>75</v>
      </c>
    </row>
    <row r="160" spans="1:9" x14ac:dyDescent="0.3">
      <c r="A160" s="3" t="s">
        <v>206</v>
      </c>
      <c r="B160">
        <v>2007</v>
      </c>
      <c r="C160">
        <v>2</v>
      </c>
      <c r="D160">
        <v>4</v>
      </c>
      <c r="E160">
        <v>60</v>
      </c>
      <c r="F160">
        <v>741</v>
      </c>
      <c r="G160">
        <v>233</v>
      </c>
      <c r="H160" s="3" t="s">
        <v>12</v>
      </c>
      <c r="I160" s="4">
        <f>igre_en[Play Time]/SQRT(igre_en[Max Players]*igre_en[Min Players])</f>
        <v>21.213203435596423</v>
      </c>
    </row>
    <row r="161" spans="1:9" x14ac:dyDescent="0.3">
      <c r="A161" s="3" t="s">
        <v>443</v>
      </c>
      <c r="B161">
        <v>2007</v>
      </c>
      <c r="C161">
        <v>3</v>
      </c>
      <c r="D161">
        <v>6</v>
      </c>
      <c r="E161">
        <v>20</v>
      </c>
      <c r="F161">
        <v>615</v>
      </c>
      <c r="G161">
        <v>112</v>
      </c>
      <c r="H161" s="3" t="s">
        <v>40</v>
      </c>
      <c r="I161" s="4">
        <f>igre_en[Play Time]/SQRT(igre_en[Max Players]*igre_en[Min Players])</f>
        <v>4.714045207910317</v>
      </c>
    </row>
    <row r="162" spans="1:9" x14ac:dyDescent="0.3">
      <c r="A162" s="3" t="s">
        <v>395</v>
      </c>
      <c r="B162">
        <v>2010</v>
      </c>
      <c r="C162">
        <v>2</v>
      </c>
      <c r="D162">
        <v>8</v>
      </c>
      <c r="E162">
        <v>20</v>
      </c>
      <c r="F162">
        <v>671</v>
      </c>
      <c r="G162">
        <v>115</v>
      </c>
      <c r="H162" s="3" t="s">
        <v>40</v>
      </c>
      <c r="I162" s="4">
        <f>igre_en[Play Time]/SQRT(igre_en[Max Players]*igre_en[Min Players])</f>
        <v>5</v>
      </c>
    </row>
    <row r="163" spans="1:9" x14ac:dyDescent="0.3">
      <c r="A163" s="3" t="s">
        <v>234</v>
      </c>
      <c r="B163">
        <v>2008</v>
      </c>
      <c r="C163">
        <v>1</v>
      </c>
      <c r="D163">
        <v>4</v>
      </c>
      <c r="E163">
        <v>60</v>
      </c>
      <c r="F163">
        <v>732</v>
      </c>
      <c r="G163">
        <v>291</v>
      </c>
      <c r="H163" s="3" t="s">
        <v>9</v>
      </c>
      <c r="I163" s="4">
        <f>igre_en[Play Time]/SQRT(igre_en[Max Players]*igre_en[Min Players])</f>
        <v>30</v>
      </c>
    </row>
    <row r="164" spans="1:9" x14ac:dyDescent="0.3">
      <c r="A164" s="3" t="s">
        <v>193</v>
      </c>
      <c r="B164">
        <v>2018</v>
      </c>
      <c r="C164">
        <v>2</v>
      </c>
      <c r="D164">
        <v>4</v>
      </c>
      <c r="E164">
        <v>50</v>
      </c>
      <c r="F164">
        <v>745</v>
      </c>
      <c r="G164">
        <v>202</v>
      </c>
      <c r="H164" s="3" t="s">
        <v>40</v>
      </c>
      <c r="I164" s="4">
        <f>igre_en[Play Time]/SQRT(igre_en[Max Players]*igre_en[Min Players])</f>
        <v>17.677669529663685</v>
      </c>
    </row>
    <row r="165" spans="1:9" x14ac:dyDescent="0.3">
      <c r="A165" s="3" t="s">
        <v>190</v>
      </c>
      <c r="B165">
        <v>2013</v>
      </c>
      <c r="C165">
        <v>1</v>
      </c>
      <c r="D165">
        <v>4</v>
      </c>
      <c r="E165">
        <v>80</v>
      </c>
      <c r="F165">
        <v>745</v>
      </c>
      <c r="G165">
        <v>297</v>
      </c>
      <c r="H165" s="3" t="s">
        <v>9</v>
      </c>
      <c r="I165" s="4">
        <f>igre_en[Play Time]/SQRT(igre_en[Max Players]*igre_en[Min Players])</f>
        <v>40</v>
      </c>
    </row>
    <row r="166" spans="1:9" x14ac:dyDescent="0.3">
      <c r="A166" s="3" t="s">
        <v>430</v>
      </c>
      <c r="B166">
        <v>2005</v>
      </c>
      <c r="C166">
        <v>2</v>
      </c>
      <c r="D166">
        <v>4</v>
      </c>
      <c r="E166">
        <v>60</v>
      </c>
      <c r="F166">
        <v>634</v>
      </c>
      <c r="G166">
        <v>163</v>
      </c>
      <c r="H166" s="3" t="s">
        <v>12</v>
      </c>
      <c r="I166" s="4">
        <f>igre_en[Play Time]/SQRT(igre_en[Max Players]*igre_en[Min Players])</f>
        <v>21.213203435596423</v>
      </c>
    </row>
    <row r="167" spans="1:9" x14ac:dyDescent="0.3">
      <c r="A167" s="3" t="s">
        <v>10</v>
      </c>
      <c r="B167">
        <v>2017</v>
      </c>
      <c r="C167">
        <v>1</v>
      </c>
      <c r="D167">
        <v>4</v>
      </c>
      <c r="E167">
        <v>120</v>
      </c>
      <c r="F167">
        <v>879</v>
      </c>
      <c r="G167">
        <v>386</v>
      </c>
      <c r="H167" s="3" t="s">
        <v>9</v>
      </c>
      <c r="I167" s="4">
        <f>igre_en[Play Time]/SQRT(igre_en[Max Players]*igre_en[Min Players])</f>
        <v>60</v>
      </c>
    </row>
    <row r="168" spans="1:9" x14ac:dyDescent="0.3">
      <c r="A168" s="3" t="s">
        <v>8</v>
      </c>
      <c r="B168">
        <v>2020</v>
      </c>
      <c r="C168">
        <v>1</v>
      </c>
      <c r="D168">
        <v>4</v>
      </c>
      <c r="E168">
        <v>120</v>
      </c>
      <c r="F168">
        <v>887</v>
      </c>
      <c r="G168">
        <v>355</v>
      </c>
      <c r="H168" s="3" t="s">
        <v>9</v>
      </c>
      <c r="I168" s="4">
        <f>igre_en[Play Time]/SQRT(igre_en[Max Players]*igre_en[Min Players])</f>
        <v>60</v>
      </c>
    </row>
    <row r="169" spans="1:9" x14ac:dyDescent="0.3">
      <c r="A169" s="3" t="s">
        <v>180</v>
      </c>
      <c r="B169">
        <v>2005</v>
      </c>
      <c r="C169">
        <v>2</v>
      </c>
      <c r="D169">
        <v>5</v>
      </c>
      <c r="E169">
        <v>60</v>
      </c>
      <c r="F169">
        <v>749</v>
      </c>
      <c r="G169">
        <v>293</v>
      </c>
      <c r="H169" s="3" t="s">
        <v>9</v>
      </c>
      <c r="I169" s="4">
        <f>igre_en[Play Time]/SQRT(igre_en[Max Players]*igre_en[Min Players])</f>
        <v>18.973665961010276</v>
      </c>
    </row>
    <row r="170" spans="1:9" x14ac:dyDescent="0.3">
      <c r="A170" s="3" t="s">
        <v>134</v>
      </c>
      <c r="B170">
        <v>-2200</v>
      </c>
      <c r="C170">
        <v>2</v>
      </c>
      <c r="D170">
        <v>2</v>
      </c>
      <c r="E170">
        <v>180</v>
      </c>
      <c r="F170">
        <v>764</v>
      </c>
      <c r="G170">
        <v>400</v>
      </c>
      <c r="H170" s="3" t="s">
        <v>84</v>
      </c>
      <c r="I170" s="4">
        <f>igre_en[Play Time]/SQRT(igre_en[Max Players]*igre_en[Min Players])</f>
        <v>90</v>
      </c>
    </row>
    <row r="171" spans="1:9" x14ac:dyDescent="0.3">
      <c r="A171" s="3" t="s">
        <v>151</v>
      </c>
      <c r="B171">
        <v>2004</v>
      </c>
      <c r="C171">
        <v>2</v>
      </c>
      <c r="D171">
        <v>4</v>
      </c>
      <c r="E171">
        <v>90</v>
      </c>
      <c r="F171">
        <v>758</v>
      </c>
      <c r="G171">
        <v>338</v>
      </c>
      <c r="H171" s="3" t="s">
        <v>9</v>
      </c>
      <c r="I171" s="4">
        <f>igre_en[Play Time]/SQRT(igre_en[Max Players]*igre_en[Min Players])</f>
        <v>31.819805153394636</v>
      </c>
    </row>
    <row r="172" spans="1:9" x14ac:dyDescent="0.3">
      <c r="A172" s="3" t="s">
        <v>78</v>
      </c>
      <c r="B172">
        <v>2015</v>
      </c>
      <c r="C172">
        <v>2</v>
      </c>
      <c r="D172">
        <v>4</v>
      </c>
      <c r="E172">
        <v>120</v>
      </c>
      <c r="F172">
        <v>785</v>
      </c>
      <c r="G172">
        <v>322</v>
      </c>
      <c r="H172" s="3" t="s">
        <v>9</v>
      </c>
      <c r="I172" s="4">
        <f>igre_en[Play Time]/SQRT(igre_en[Max Players]*igre_en[Min Players])</f>
        <v>42.426406871192846</v>
      </c>
    </row>
    <row r="173" spans="1:9" x14ac:dyDescent="0.3">
      <c r="A173" s="3" t="s">
        <v>20</v>
      </c>
      <c r="B173">
        <v>2016</v>
      </c>
      <c r="C173">
        <v>2</v>
      </c>
      <c r="D173">
        <v>4</v>
      </c>
      <c r="E173">
        <v>150</v>
      </c>
      <c r="F173">
        <v>830</v>
      </c>
      <c r="G173">
        <v>371</v>
      </c>
      <c r="H173" s="3" t="s">
        <v>9</v>
      </c>
      <c r="I173" s="4">
        <f>igre_en[Play Time]/SQRT(igre_en[Max Players]*igre_en[Min Players])</f>
        <v>53.033008588991059</v>
      </c>
    </row>
    <row r="174" spans="1:9" x14ac:dyDescent="0.3">
      <c r="A174" s="3" t="s">
        <v>417</v>
      </c>
      <c r="B174">
        <v>1998</v>
      </c>
      <c r="C174">
        <v>2</v>
      </c>
      <c r="D174">
        <v>5</v>
      </c>
      <c r="E174">
        <v>30</v>
      </c>
      <c r="F174">
        <v>653</v>
      </c>
      <c r="G174">
        <v>127</v>
      </c>
      <c r="H174" s="3" t="s">
        <v>40</v>
      </c>
      <c r="I174" s="4">
        <f>igre_en[Play Time]/SQRT(igre_en[Max Players]*igre_en[Min Players])</f>
        <v>9.4868329805051381</v>
      </c>
    </row>
    <row r="175" spans="1:9" x14ac:dyDescent="0.3">
      <c r="A175" s="3" t="s">
        <v>315</v>
      </c>
      <c r="B175">
        <v>2010</v>
      </c>
      <c r="C175">
        <v>2</v>
      </c>
      <c r="D175">
        <v>5</v>
      </c>
      <c r="E175">
        <v>25</v>
      </c>
      <c r="F175">
        <v>708</v>
      </c>
      <c r="G175">
        <v>170</v>
      </c>
      <c r="H175" s="3" t="s">
        <v>40</v>
      </c>
      <c r="I175" s="4">
        <f>igre_en[Play Time]/SQRT(igre_en[Max Players]*igre_en[Min Players])</f>
        <v>7.9056941504209481</v>
      </c>
    </row>
    <row r="176" spans="1:9" x14ac:dyDescent="0.3">
      <c r="A176" s="3" t="s">
        <v>165</v>
      </c>
      <c r="B176">
        <v>2013</v>
      </c>
      <c r="C176">
        <v>2</v>
      </c>
      <c r="D176">
        <v>2</v>
      </c>
      <c r="E176">
        <v>15</v>
      </c>
      <c r="F176">
        <v>754</v>
      </c>
      <c r="G176">
        <v>171</v>
      </c>
      <c r="H176" s="3" t="s">
        <v>40</v>
      </c>
      <c r="I176" s="4">
        <f>igre_en[Play Time]/SQRT(igre_en[Max Players]*igre_en[Min Players])</f>
        <v>7.5</v>
      </c>
    </row>
    <row r="177" spans="1:9" x14ac:dyDescent="0.3">
      <c r="A177" s="3" t="s">
        <v>129</v>
      </c>
      <c r="B177">
        <v>2009</v>
      </c>
      <c r="C177">
        <v>2</v>
      </c>
      <c r="D177">
        <v>5</v>
      </c>
      <c r="E177">
        <v>90</v>
      </c>
      <c r="F177">
        <v>765</v>
      </c>
      <c r="G177">
        <v>312</v>
      </c>
      <c r="H177" s="3" t="s">
        <v>9</v>
      </c>
      <c r="I177" s="4">
        <f>igre_en[Play Time]/SQRT(igre_en[Max Players]*igre_en[Min Players])</f>
        <v>28.460498941515411</v>
      </c>
    </row>
    <row r="178" spans="1:9" x14ac:dyDescent="0.3">
      <c r="A178" s="3" t="s">
        <v>186</v>
      </c>
      <c r="B178">
        <v>2016</v>
      </c>
      <c r="C178">
        <v>2</v>
      </c>
      <c r="D178">
        <v>4</v>
      </c>
      <c r="E178">
        <v>60</v>
      </c>
      <c r="F178">
        <v>746</v>
      </c>
      <c r="G178">
        <v>208</v>
      </c>
      <c r="H178" s="3" t="s">
        <v>9</v>
      </c>
      <c r="I178" s="4">
        <f>igre_en[Play Time]/SQRT(igre_en[Max Players]*igre_en[Min Players])</f>
        <v>21.213203435596423</v>
      </c>
    </row>
    <row r="179" spans="1:9" x14ac:dyDescent="0.3">
      <c r="A179" s="3" t="s">
        <v>143</v>
      </c>
      <c r="B179">
        <v>2016</v>
      </c>
      <c r="C179">
        <v>2</v>
      </c>
      <c r="D179">
        <v>4</v>
      </c>
      <c r="E179">
        <v>30</v>
      </c>
      <c r="F179">
        <v>760</v>
      </c>
      <c r="G179">
        <v>190</v>
      </c>
      <c r="H179" s="3" t="s">
        <v>28</v>
      </c>
      <c r="I179" s="4">
        <f>igre_en[Play Time]/SQRT(igre_en[Max Players]*igre_en[Min Players])</f>
        <v>10.606601717798211</v>
      </c>
    </row>
    <row r="180" spans="1:9" x14ac:dyDescent="0.3">
      <c r="A180" s="3" t="s">
        <v>297</v>
      </c>
      <c r="B180">
        <v>1989</v>
      </c>
      <c r="C180">
        <v>2</v>
      </c>
      <c r="D180">
        <v>5</v>
      </c>
      <c r="E180">
        <v>90</v>
      </c>
      <c r="F180">
        <v>714</v>
      </c>
      <c r="G180">
        <v>216</v>
      </c>
      <c r="H180" s="3" t="s">
        <v>12</v>
      </c>
      <c r="I180" s="4">
        <f>igre_en[Play Time]/SQRT(igre_en[Max Players]*igre_en[Min Players])</f>
        <v>28.460498941515411</v>
      </c>
    </row>
    <row r="181" spans="1:9" x14ac:dyDescent="0.3">
      <c r="A181" s="3" t="s">
        <v>397</v>
      </c>
      <c r="B181">
        <v>2003</v>
      </c>
      <c r="C181">
        <v>2</v>
      </c>
      <c r="D181">
        <v>4</v>
      </c>
      <c r="E181">
        <v>20</v>
      </c>
      <c r="F181">
        <v>670</v>
      </c>
      <c r="G181">
        <v>146</v>
      </c>
      <c r="H181" s="3" t="s">
        <v>84</v>
      </c>
      <c r="I181" s="4">
        <f>igre_en[Play Time]/SQRT(igre_en[Max Players]*igre_en[Min Players])</f>
        <v>7.0710678118654746</v>
      </c>
    </row>
    <row r="182" spans="1:9" x14ac:dyDescent="0.3">
      <c r="A182" s="3" t="s">
        <v>328</v>
      </c>
      <c r="B182">
        <v>1995</v>
      </c>
      <c r="C182">
        <v>3</v>
      </c>
      <c r="D182">
        <v>5</v>
      </c>
      <c r="E182">
        <v>30</v>
      </c>
      <c r="F182">
        <v>705</v>
      </c>
      <c r="G182">
        <v>150</v>
      </c>
      <c r="H182" s="3" t="s">
        <v>40</v>
      </c>
      <c r="I182" s="4">
        <f>igre_en[Play Time]/SQRT(igre_en[Max Players]*igre_en[Min Players])</f>
        <v>7.7459666924148332</v>
      </c>
    </row>
    <row r="183" spans="1:9" x14ac:dyDescent="0.3">
      <c r="A183" s="3" t="s">
        <v>235</v>
      </c>
      <c r="B183">
        <v>2000</v>
      </c>
      <c r="C183">
        <v>2</v>
      </c>
      <c r="D183">
        <v>2</v>
      </c>
      <c r="E183">
        <v>20</v>
      </c>
      <c r="F183">
        <v>732</v>
      </c>
      <c r="G183">
        <v>233</v>
      </c>
      <c r="H183" s="3" t="s">
        <v>84</v>
      </c>
      <c r="I183" s="4">
        <f>igre_en[Play Time]/SQRT(igre_en[Max Players]*igre_en[Min Players])</f>
        <v>10</v>
      </c>
    </row>
    <row r="184" spans="1:9" x14ac:dyDescent="0.3">
      <c r="A184" s="3" t="s">
        <v>81</v>
      </c>
      <c r="B184">
        <v>2019</v>
      </c>
      <c r="C184">
        <v>1</v>
      </c>
      <c r="D184">
        <v>5</v>
      </c>
      <c r="E184">
        <v>60</v>
      </c>
      <c r="F184">
        <v>784</v>
      </c>
      <c r="G184">
        <v>205</v>
      </c>
      <c r="H184" s="3" t="s">
        <v>12</v>
      </c>
      <c r="I184" s="4">
        <f>igre_en[Play Time]/SQRT(igre_en[Max Players]*igre_en[Min Players])</f>
        <v>26.832815729997474</v>
      </c>
    </row>
    <row r="185" spans="1:9" x14ac:dyDescent="0.3">
      <c r="A185" s="3" t="s">
        <v>381</v>
      </c>
      <c r="B185">
        <v>2016</v>
      </c>
      <c r="C185">
        <v>2</v>
      </c>
      <c r="D185">
        <v>4</v>
      </c>
      <c r="E185">
        <v>30</v>
      </c>
      <c r="F185">
        <v>683</v>
      </c>
      <c r="G185">
        <v>102</v>
      </c>
      <c r="H185" s="3" t="s">
        <v>360</v>
      </c>
      <c r="I185" s="4">
        <f>igre_en[Play Time]/SQRT(igre_en[Max Players]*igre_en[Min Players])</f>
        <v>10.606601717798211</v>
      </c>
    </row>
    <row r="186" spans="1:9" x14ac:dyDescent="0.3">
      <c r="A186" s="3" t="s">
        <v>278</v>
      </c>
      <c r="B186">
        <v>2016</v>
      </c>
      <c r="C186">
        <v>2</v>
      </c>
      <c r="D186">
        <v>4</v>
      </c>
      <c r="E186">
        <v>40</v>
      </c>
      <c r="F186">
        <v>720</v>
      </c>
      <c r="G186">
        <v>201</v>
      </c>
      <c r="H186" s="3" t="s">
        <v>40</v>
      </c>
      <c r="I186" s="4">
        <f>igre_en[Play Time]/SQRT(igre_en[Max Players]*igre_en[Min Players])</f>
        <v>14.142135623730949</v>
      </c>
    </row>
    <row r="187" spans="1:9" x14ac:dyDescent="0.3">
      <c r="A187" s="3" t="s">
        <v>204</v>
      </c>
      <c r="B187">
        <v>2014</v>
      </c>
      <c r="C187">
        <v>1</v>
      </c>
      <c r="D187">
        <v>4</v>
      </c>
      <c r="E187">
        <v>90</v>
      </c>
      <c r="F187">
        <v>741</v>
      </c>
      <c r="G187">
        <v>277</v>
      </c>
      <c r="H187" s="3" t="s">
        <v>9</v>
      </c>
      <c r="I187" s="4">
        <f>igre_en[Play Time]/SQRT(igre_en[Max Players]*igre_en[Min Players])</f>
        <v>45</v>
      </c>
    </row>
    <row r="188" spans="1:9" x14ac:dyDescent="0.3">
      <c r="A188" s="3" t="s">
        <v>306</v>
      </c>
      <c r="B188">
        <v>2004</v>
      </c>
      <c r="C188">
        <v>1</v>
      </c>
      <c r="D188">
        <v>4</v>
      </c>
      <c r="E188">
        <v>45</v>
      </c>
      <c r="F188">
        <v>712</v>
      </c>
      <c r="G188">
        <v>192</v>
      </c>
      <c r="H188" s="3" t="s">
        <v>84</v>
      </c>
      <c r="I188" s="4">
        <f>igre_en[Play Time]/SQRT(igre_en[Max Players]*igre_en[Min Players])</f>
        <v>22.5</v>
      </c>
    </row>
    <row r="189" spans="1:9" x14ac:dyDescent="0.3">
      <c r="A189" s="3" t="s">
        <v>92</v>
      </c>
      <c r="B189">
        <v>2016</v>
      </c>
      <c r="C189">
        <v>2</v>
      </c>
      <c r="D189">
        <v>4</v>
      </c>
      <c r="E189">
        <v>90</v>
      </c>
      <c r="F189">
        <v>780</v>
      </c>
      <c r="G189">
        <v>288</v>
      </c>
      <c r="H189" s="3" t="s">
        <v>9</v>
      </c>
      <c r="I189" s="4">
        <f>igre_en[Play Time]/SQRT(igre_en[Max Players]*igre_en[Min Players])</f>
        <v>31.819805153394636</v>
      </c>
    </row>
    <row r="190" spans="1:9" x14ac:dyDescent="0.3">
      <c r="A190" s="3" t="s">
        <v>262</v>
      </c>
      <c r="B190">
        <v>2010</v>
      </c>
      <c r="C190">
        <v>2</v>
      </c>
      <c r="D190">
        <v>4</v>
      </c>
      <c r="E190">
        <v>60</v>
      </c>
      <c r="F190">
        <v>725</v>
      </c>
      <c r="G190">
        <v>274</v>
      </c>
      <c r="H190" s="3" t="s">
        <v>9</v>
      </c>
      <c r="I190" s="4">
        <f>igre_en[Play Time]/SQRT(igre_en[Max Players]*igre_en[Min Players])</f>
        <v>21.213203435596423</v>
      </c>
    </row>
    <row r="191" spans="1:9" x14ac:dyDescent="0.3">
      <c r="A191" s="3" t="s">
        <v>149</v>
      </c>
      <c r="B191">
        <v>2014</v>
      </c>
      <c r="C191">
        <v>2</v>
      </c>
      <c r="D191">
        <v>5</v>
      </c>
      <c r="E191">
        <v>60</v>
      </c>
      <c r="F191">
        <v>758</v>
      </c>
      <c r="G191">
        <v>258</v>
      </c>
      <c r="H191" s="3" t="s">
        <v>9</v>
      </c>
      <c r="I191" s="4">
        <f>igre_en[Play Time]/SQRT(igre_en[Max Players]*igre_en[Min Players])</f>
        <v>18.973665961010276</v>
      </c>
    </row>
    <row r="192" spans="1:9" x14ac:dyDescent="0.3">
      <c r="A192" s="3" t="s">
        <v>176</v>
      </c>
      <c r="B192">
        <v>2009</v>
      </c>
      <c r="C192">
        <v>2</v>
      </c>
      <c r="D192">
        <v>2</v>
      </c>
      <c r="E192">
        <v>30</v>
      </c>
      <c r="F192">
        <v>751</v>
      </c>
      <c r="G192">
        <v>149</v>
      </c>
      <c r="H192" s="3" t="s">
        <v>40</v>
      </c>
      <c r="I192" s="4">
        <f>igre_en[Play Time]/SQRT(igre_en[Max Players]*igre_en[Min Players])</f>
        <v>15</v>
      </c>
    </row>
    <row r="193" spans="1:9" x14ac:dyDescent="0.3">
      <c r="A193" s="3" t="s">
        <v>322</v>
      </c>
      <c r="B193">
        <v>2007</v>
      </c>
      <c r="C193">
        <v>2</v>
      </c>
      <c r="D193">
        <v>6</v>
      </c>
      <c r="E193">
        <v>60</v>
      </c>
      <c r="F193">
        <v>706</v>
      </c>
      <c r="G193">
        <v>165</v>
      </c>
      <c r="H193" s="3" t="s">
        <v>40</v>
      </c>
      <c r="I193" s="4">
        <f>igre_en[Play Time]/SQRT(igre_en[Max Players]*igre_en[Min Players])</f>
        <v>17.320508075688775</v>
      </c>
    </row>
    <row r="194" spans="1:9" x14ac:dyDescent="0.3">
      <c r="A194" s="3" t="s">
        <v>462</v>
      </c>
      <c r="B194">
        <v>1983</v>
      </c>
      <c r="C194">
        <v>1</v>
      </c>
      <c r="D194">
        <v>8</v>
      </c>
      <c r="E194">
        <v>20</v>
      </c>
      <c r="F194">
        <v>560</v>
      </c>
      <c r="G194">
        <v>112</v>
      </c>
      <c r="H194" s="3" t="s">
        <v>95</v>
      </c>
      <c r="I194" s="4">
        <f>igre_en[Play Time]/SQRT(igre_en[Max Players]*igre_en[Min Players])</f>
        <v>7.0710678118654746</v>
      </c>
    </row>
    <row r="195" spans="1:9" x14ac:dyDescent="0.3">
      <c r="A195" s="3" t="s">
        <v>424</v>
      </c>
      <c r="B195">
        <v>2016</v>
      </c>
      <c r="C195">
        <v>3</v>
      </c>
      <c r="D195">
        <v>10</v>
      </c>
      <c r="E195">
        <v>90</v>
      </c>
      <c r="F195">
        <v>641</v>
      </c>
      <c r="G195">
        <v>104</v>
      </c>
      <c r="H195" s="3" t="s">
        <v>95</v>
      </c>
      <c r="I195" s="4">
        <f>igre_en[Play Time]/SQRT(igre_en[Max Players]*igre_en[Min Players])</f>
        <v>16.431676725154983</v>
      </c>
    </row>
    <row r="196" spans="1:9" x14ac:dyDescent="0.3">
      <c r="A196" s="3" t="s">
        <v>421</v>
      </c>
      <c r="B196">
        <v>1997</v>
      </c>
      <c r="C196">
        <v>2</v>
      </c>
      <c r="D196">
        <v>8</v>
      </c>
      <c r="E196">
        <v>10</v>
      </c>
      <c r="F196">
        <v>650</v>
      </c>
      <c r="G196">
        <v>114</v>
      </c>
      <c r="H196" s="3" t="s">
        <v>95</v>
      </c>
      <c r="I196" s="4">
        <f>igre_en[Play Time]/SQRT(igre_en[Max Players]*igre_en[Min Players])</f>
        <v>2.5</v>
      </c>
    </row>
    <row r="197" spans="1:9" x14ac:dyDescent="0.3">
      <c r="A197" s="3" t="s">
        <v>144</v>
      </c>
      <c r="B197">
        <v>2018</v>
      </c>
      <c r="C197">
        <v>3</v>
      </c>
      <c r="D197">
        <v>7</v>
      </c>
      <c r="E197">
        <v>20</v>
      </c>
      <c r="F197">
        <v>760</v>
      </c>
      <c r="G197">
        <v>105</v>
      </c>
      <c r="H197" s="3" t="s">
        <v>95</v>
      </c>
      <c r="I197" s="4">
        <f>igre_en[Play Time]/SQRT(igre_en[Max Players]*igre_en[Min Players])</f>
        <v>4.3643578047198481</v>
      </c>
    </row>
    <row r="198" spans="1:9" x14ac:dyDescent="0.3">
      <c r="A198" s="3" t="s">
        <v>405</v>
      </c>
      <c r="B198">
        <v>1998</v>
      </c>
      <c r="C198">
        <v>2</v>
      </c>
      <c r="D198">
        <v>2</v>
      </c>
      <c r="E198">
        <v>40</v>
      </c>
      <c r="F198">
        <v>663</v>
      </c>
      <c r="G198">
        <v>206</v>
      </c>
      <c r="H198" s="3" t="s">
        <v>84</v>
      </c>
      <c r="I198" s="4">
        <f>igre_en[Play Time]/SQRT(igre_en[Max Players]*igre_en[Min Players])</f>
        <v>20</v>
      </c>
    </row>
    <row r="199" spans="1:9" x14ac:dyDescent="0.3">
      <c r="A199" s="3" t="s">
        <v>451</v>
      </c>
      <c r="B199">
        <v>700</v>
      </c>
      <c r="C199">
        <v>2</v>
      </c>
      <c r="D199">
        <v>2</v>
      </c>
      <c r="E199">
        <v>10</v>
      </c>
      <c r="F199">
        <v>592</v>
      </c>
      <c r="G199">
        <v>162</v>
      </c>
      <c r="H199" s="3" t="s">
        <v>84</v>
      </c>
      <c r="I199" s="4">
        <f>igre_en[Play Time]/SQRT(igre_en[Max Players]*igre_en[Min Players])</f>
        <v>5</v>
      </c>
    </row>
    <row r="200" spans="1:9" x14ac:dyDescent="0.3">
      <c r="A200" s="3" t="s">
        <v>311</v>
      </c>
      <c r="B200">
        <v>2016</v>
      </c>
      <c r="C200">
        <v>2</v>
      </c>
      <c r="D200">
        <v>4</v>
      </c>
      <c r="E200">
        <v>45</v>
      </c>
      <c r="F200">
        <v>710</v>
      </c>
      <c r="G200">
        <v>203</v>
      </c>
      <c r="H200" s="3" t="s">
        <v>40</v>
      </c>
      <c r="I200" s="4">
        <f>igre_en[Play Time]/SQRT(igre_en[Max Players]*igre_en[Min Players])</f>
        <v>15.909902576697318</v>
      </c>
    </row>
    <row r="201" spans="1:9" x14ac:dyDescent="0.3">
      <c r="A201" s="3" t="s">
        <v>273</v>
      </c>
      <c r="B201">
        <v>2015</v>
      </c>
      <c r="C201">
        <v>2</v>
      </c>
      <c r="D201">
        <v>4</v>
      </c>
      <c r="E201">
        <v>40</v>
      </c>
      <c r="F201">
        <v>721</v>
      </c>
      <c r="G201">
        <v>146</v>
      </c>
      <c r="H201" s="3" t="s">
        <v>40</v>
      </c>
      <c r="I201" s="4">
        <f>igre_en[Play Time]/SQRT(igre_en[Max Players]*igre_en[Min Players])</f>
        <v>14.142135623730949</v>
      </c>
    </row>
    <row r="202" spans="1:9" x14ac:dyDescent="0.3">
      <c r="A202" s="3" t="s">
        <v>113</v>
      </c>
      <c r="B202">
        <v>2012</v>
      </c>
      <c r="C202">
        <v>2</v>
      </c>
      <c r="D202">
        <v>5</v>
      </c>
      <c r="E202">
        <v>120</v>
      </c>
      <c r="F202">
        <v>772</v>
      </c>
      <c r="G202">
        <v>301</v>
      </c>
      <c r="H202" s="3" t="s">
        <v>9</v>
      </c>
      <c r="I202" s="4">
        <f>igre_en[Play Time]/SQRT(igre_en[Max Players]*igre_en[Min Players])</f>
        <v>37.947331922020552</v>
      </c>
    </row>
    <row r="203" spans="1:9" x14ac:dyDescent="0.3">
      <c r="A203" s="3" t="s">
        <v>91</v>
      </c>
      <c r="B203">
        <v>2012</v>
      </c>
      <c r="C203">
        <v>2</v>
      </c>
      <c r="D203">
        <v>6</v>
      </c>
      <c r="E203">
        <v>120</v>
      </c>
      <c r="F203">
        <v>780</v>
      </c>
      <c r="G203">
        <v>335</v>
      </c>
      <c r="H203" s="3" t="s">
        <v>9</v>
      </c>
      <c r="I203" s="4">
        <f>igre_en[Play Time]/SQRT(igre_en[Max Players]*igre_en[Min Players])</f>
        <v>34.641016151377549</v>
      </c>
    </row>
    <row r="204" spans="1:9" x14ac:dyDescent="0.3">
      <c r="A204" s="3" t="s">
        <v>250</v>
      </c>
      <c r="B204">
        <v>2018</v>
      </c>
      <c r="C204">
        <v>2</v>
      </c>
      <c r="D204">
        <v>2</v>
      </c>
      <c r="E204">
        <v>45</v>
      </c>
      <c r="F204">
        <v>728</v>
      </c>
      <c r="G204">
        <v>246</v>
      </c>
      <c r="H204" s="3" t="s">
        <v>28</v>
      </c>
      <c r="I204" s="4">
        <f>igre_en[Play Time]/SQRT(igre_en[Max Players]*igre_en[Min Players])</f>
        <v>22.5</v>
      </c>
    </row>
    <row r="205" spans="1:9" x14ac:dyDescent="0.3">
      <c r="A205" s="3" t="s">
        <v>442</v>
      </c>
      <c r="B205">
        <v>1996</v>
      </c>
      <c r="C205">
        <v>3</v>
      </c>
      <c r="D205">
        <v>8</v>
      </c>
      <c r="E205">
        <v>45</v>
      </c>
      <c r="F205">
        <v>615</v>
      </c>
      <c r="G205">
        <v>165</v>
      </c>
      <c r="H205" s="3" t="s">
        <v>40</v>
      </c>
      <c r="I205" s="4">
        <f>igre_en[Play Time]/SQRT(igre_en[Max Players]*igre_en[Min Players])</f>
        <v>9.1855865354369186</v>
      </c>
    </row>
    <row r="206" spans="1:9" x14ac:dyDescent="0.3">
      <c r="A206" s="3" t="s">
        <v>354</v>
      </c>
      <c r="B206">
        <v>2014</v>
      </c>
      <c r="C206">
        <v>2</v>
      </c>
      <c r="D206">
        <v>6</v>
      </c>
      <c r="E206">
        <v>40</v>
      </c>
      <c r="F206">
        <v>696</v>
      </c>
      <c r="G206">
        <v>187</v>
      </c>
      <c r="H206" s="3" t="s">
        <v>40</v>
      </c>
      <c r="I206" s="4">
        <f>igre_en[Play Time]/SQRT(igre_en[Max Players]*igre_en[Min Players])</f>
        <v>11.547005383792516</v>
      </c>
    </row>
    <row r="207" spans="1:9" x14ac:dyDescent="0.3">
      <c r="A207" s="3" t="s">
        <v>285</v>
      </c>
      <c r="B207">
        <v>2011</v>
      </c>
      <c r="C207">
        <v>2</v>
      </c>
      <c r="D207">
        <v>6</v>
      </c>
      <c r="E207">
        <v>30</v>
      </c>
      <c r="F207">
        <v>718</v>
      </c>
      <c r="G207">
        <v>149</v>
      </c>
      <c r="H207" s="3" t="s">
        <v>40</v>
      </c>
      <c r="I207" s="4">
        <f>igre_en[Play Time]/SQRT(igre_en[Max Players]*igre_en[Min Players])</f>
        <v>8.6602540378443873</v>
      </c>
    </row>
    <row r="208" spans="1:9" x14ac:dyDescent="0.3">
      <c r="A208" s="3" t="s">
        <v>355</v>
      </c>
      <c r="B208">
        <v>2011</v>
      </c>
      <c r="C208">
        <v>2</v>
      </c>
      <c r="D208">
        <v>4</v>
      </c>
      <c r="E208">
        <v>45</v>
      </c>
      <c r="F208">
        <v>696</v>
      </c>
      <c r="G208">
        <v>207</v>
      </c>
      <c r="H208" s="3" t="s">
        <v>40</v>
      </c>
      <c r="I208" s="4">
        <f>igre_en[Play Time]/SQRT(igre_en[Max Players]*igre_en[Min Players])</f>
        <v>15.909902576697318</v>
      </c>
    </row>
    <row r="209" spans="1:9" x14ac:dyDescent="0.3">
      <c r="A209" s="3" t="s">
        <v>11</v>
      </c>
      <c r="B209">
        <v>2015</v>
      </c>
      <c r="C209">
        <v>1</v>
      </c>
      <c r="D209">
        <v>4</v>
      </c>
      <c r="E209">
        <v>180</v>
      </c>
      <c r="F209">
        <v>866</v>
      </c>
      <c r="G209">
        <v>425</v>
      </c>
      <c r="H209" s="3" t="s">
        <v>12</v>
      </c>
      <c r="I209" s="4">
        <f>igre_en[Play Time]/SQRT(igre_en[Max Players]*igre_en[Min Players])</f>
        <v>90</v>
      </c>
    </row>
    <row r="210" spans="1:9" x14ac:dyDescent="0.3">
      <c r="A210" s="3" t="s">
        <v>226</v>
      </c>
      <c r="B210">
        <v>2016</v>
      </c>
      <c r="C210">
        <v>2</v>
      </c>
      <c r="D210">
        <v>4</v>
      </c>
      <c r="E210">
        <v>15</v>
      </c>
      <c r="F210">
        <v>735</v>
      </c>
      <c r="G210">
        <v>121</v>
      </c>
      <c r="H210" s="3" t="s">
        <v>40</v>
      </c>
      <c r="I210" s="4">
        <f>igre_en[Play Time]/SQRT(igre_en[Max Players]*igre_en[Min Players])</f>
        <v>5.3033008588991057</v>
      </c>
    </row>
    <row r="211" spans="1:9" x14ac:dyDescent="0.3">
      <c r="A211" s="3" t="s">
        <v>282</v>
      </c>
      <c r="B211">
        <v>2007</v>
      </c>
      <c r="C211">
        <v>2</v>
      </c>
      <c r="D211">
        <v>5</v>
      </c>
      <c r="E211">
        <v>90</v>
      </c>
      <c r="F211">
        <v>719</v>
      </c>
      <c r="G211">
        <v>243</v>
      </c>
      <c r="H211" s="3" t="s">
        <v>40</v>
      </c>
      <c r="I211" s="4">
        <f>igre_en[Play Time]/SQRT(igre_en[Max Players]*igre_en[Min Players])</f>
        <v>28.460498941515411</v>
      </c>
    </row>
    <row r="212" spans="1:9" x14ac:dyDescent="0.3">
      <c r="A212" s="3" t="s">
        <v>125</v>
      </c>
      <c r="B212">
        <v>2014</v>
      </c>
      <c r="C212">
        <v>1</v>
      </c>
      <c r="D212">
        <v>4</v>
      </c>
      <c r="E212">
        <v>120</v>
      </c>
      <c r="F212">
        <v>767</v>
      </c>
      <c r="G212">
        <v>358</v>
      </c>
      <c r="H212" s="3" t="s">
        <v>9</v>
      </c>
      <c r="I212" s="4">
        <f>igre_en[Play Time]/SQRT(igre_en[Max Players]*igre_en[Min Players])</f>
        <v>60</v>
      </c>
    </row>
    <row r="213" spans="1:9" x14ac:dyDescent="0.3">
      <c r="A213" s="3" t="s">
        <v>425</v>
      </c>
      <c r="B213">
        <v>1986</v>
      </c>
      <c r="C213">
        <v>2</v>
      </c>
      <c r="D213">
        <v>4</v>
      </c>
      <c r="E213">
        <v>20</v>
      </c>
      <c r="F213">
        <v>641</v>
      </c>
      <c r="G213">
        <v>137</v>
      </c>
      <c r="H213" s="3" t="s">
        <v>40</v>
      </c>
      <c r="I213" s="4">
        <f>igre_en[Play Time]/SQRT(igre_en[Max Players]*igre_en[Min Players])</f>
        <v>7.0710678118654746</v>
      </c>
    </row>
    <row r="214" spans="1:9" x14ac:dyDescent="0.3">
      <c r="A214" s="3" t="s">
        <v>365</v>
      </c>
      <c r="B214">
        <v>2015</v>
      </c>
      <c r="C214">
        <v>2</v>
      </c>
      <c r="D214">
        <v>4</v>
      </c>
      <c r="E214">
        <v>30</v>
      </c>
      <c r="F214">
        <v>692</v>
      </c>
      <c r="G214">
        <v>157</v>
      </c>
      <c r="H214" s="3" t="s">
        <v>40</v>
      </c>
      <c r="I214" s="4">
        <f>igre_en[Play Time]/SQRT(igre_en[Max Players]*igre_en[Min Players])</f>
        <v>10.606601717798211</v>
      </c>
    </row>
    <row r="215" spans="1:9" x14ac:dyDescent="0.3">
      <c r="A215" s="3" t="s">
        <v>302</v>
      </c>
      <c r="B215">
        <v>2012</v>
      </c>
      <c r="C215">
        <v>2</v>
      </c>
      <c r="D215">
        <v>5</v>
      </c>
      <c r="E215">
        <v>30</v>
      </c>
      <c r="F215">
        <v>713</v>
      </c>
      <c r="G215">
        <v>119</v>
      </c>
      <c r="H215" s="3" t="s">
        <v>40</v>
      </c>
      <c r="I215" s="4">
        <f>igre_en[Play Time]/SQRT(igre_en[Max Players]*igre_en[Min Players])</f>
        <v>9.4868329805051381</v>
      </c>
    </row>
    <row r="216" spans="1:9" x14ac:dyDescent="0.3">
      <c r="A216" s="3" t="s">
        <v>283</v>
      </c>
      <c r="B216">
        <v>2011</v>
      </c>
      <c r="C216">
        <v>2</v>
      </c>
      <c r="D216">
        <v>5</v>
      </c>
      <c r="E216">
        <v>75</v>
      </c>
      <c r="F216">
        <v>719</v>
      </c>
      <c r="G216">
        <v>271</v>
      </c>
      <c r="H216" s="3" t="s">
        <v>9</v>
      </c>
      <c r="I216" s="4">
        <f>igre_en[Play Time]/SQRT(igre_en[Max Players]*igre_en[Min Players])</f>
        <v>23.717082451262844</v>
      </c>
    </row>
    <row r="217" spans="1:9" x14ac:dyDescent="0.3">
      <c r="A217" s="3" t="s">
        <v>75</v>
      </c>
      <c r="B217">
        <v>2008</v>
      </c>
      <c r="C217">
        <v>1</v>
      </c>
      <c r="D217">
        <v>5</v>
      </c>
      <c r="E217">
        <v>150</v>
      </c>
      <c r="F217">
        <v>787</v>
      </c>
      <c r="G217">
        <v>374</v>
      </c>
      <c r="H217" s="3" t="s">
        <v>9</v>
      </c>
      <c r="I217" s="4">
        <f>igre_en[Play Time]/SQRT(igre_en[Max Players]*igre_en[Min Players])</f>
        <v>67.082039324993687</v>
      </c>
    </row>
    <row r="218" spans="1:9" x14ac:dyDescent="0.3">
      <c r="A218" s="3" t="s">
        <v>272</v>
      </c>
      <c r="B218">
        <v>2012</v>
      </c>
      <c r="C218">
        <v>2</v>
      </c>
      <c r="D218">
        <v>4</v>
      </c>
      <c r="E218">
        <v>90</v>
      </c>
      <c r="F218">
        <v>721</v>
      </c>
      <c r="G218">
        <v>277</v>
      </c>
      <c r="H218" s="3" t="s">
        <v>12</v>
      </c>
      <c r="I218" s="4">
        <f>igre_en[Play Time]/SQRT(igre_en[Max Players]*igre_en[Min Players])</f>
        <v>31.819805153394636</v>
      </c>
    </row>
    <row r="219" spans="1:9" x14ac:dyDescent="0.3">
      <c r="A219" s="3" t="s">
        <v>209</v>
      </c>
      <c r="B219">
        <v>2011</v>
      </c>
      <c r="C219">
        <v>2</v>
      </c>
      <c r="D219">
        <v>6</v>
      </c>
      <c r="E219">
        <v>60</v>
      </c>
      <c r="F219">
        <v>740</v>
      </c>
      <c r="G219">
        <v>266</v>
      </c>
      <c r="H219" s="3" t="s">
        <v>9</v>
      </c>
      <c r="I219" s="4">
        <f>igre_en[Play Time]/SQRT(igre_en[Max Players]*igre_en[Min Players])</f>
        <v>17.320508075688775</v>
      </c>
    </row>
    <row r="220" spans="1:9" x14ac:dyDescent="0.3">
      <c r="A220" s="3" t="s">
        <v>179</v>
      </c>
      <c r="B220">
        <v>2013</v>
      </c>
      <c r="C220">
        <v>1</v>
      </c>
      <c r="D220">
        <v>5</v>
      </c>
      <c r="E220">
        <v>120</v>
      </c>
      <c r="F220">
        <v>749</v>
      </c>
      <c r="G220">
        <v>334</v>
      </c>
      <c r="H220" s="3" t="s">
        <v>9</v>
      </c>
      <c r="I220" s="4">
        <f>igre_en[Play Time]/SQRT(igre_en[Max Players]*igre_en[Min Players])</f>
        <v>53.665631459994948</v>
      </c>
    </row>
    <row r="221" spans="1:9" x14ac:dyDescent="0.3">
      <c r="A221" s="3" t="s">
        <v>289</v>
      </c>
      <c r="B221">
        <v>2012</v>
      </c>
      <c r="C221">
        <v>2</v>
      </c>
      <c r="D221">
        <v>6</v>
      </c>
      <c r="E221">
        <v>60</v>
      </c>
      <c r="F221">
        <v>716</v>
      </c>
      <c r="G221">
        <v>224</v>
      </c>
      <c r="H221" s="3" t="s">
        <v>9</v>
      </c>
      <c r="I221" s="4">
        <f>igre_en[Play Time]/SQRT(igre_en[Max Players]*igre_en[Min Players])</f>
        <v>17.320508075688775</v>
      </c>
    </row>
    <row r="222" spans="1:9" x14ac:dyDescent="0.3">
      <c r="A222" s="3" t="s">
        <v>26</v>
      </c>
      <c r="B222">
        <v>2017</v>
      </c>
      <c r="C222">
        <v>1</v>
      </c>
      <c r="D222">
        <v>4</v>
      </c>
      <c r="E222">
        <v>120</v>
      </c>
      <c r="F222">
        <v>818</v>
      </c>
      <c r="G222">
        <v>457</v>
      </c>
      <c r="H222" s="3" t="s">
        <v>9</v>
      </c>
      <c r="I222" s="4">
        <f>igre_en[Play Time]/SQRT(igre_en[Max Players]*igre_en[Min Players])</f>
        <v>60</v>
      </c>
    </row>
    <row r="223" spans="1:9" x14ac:dyDescent="0.3">
      <c r="A223" s="3" t="s">
        <v>386</v>
      </c>
      <c r="B223">
        <v>1992</v>
      </c>
      <c r="C223">
        <v>2</v>
      </c>
      <c r="D223">
        <v>4</v>
      </c>
      <c r="E223">
        <v>10</v>
      </c>
      <c r="F223">
        <v>678</v>
      </c>
      <c r="G223">
        <v>105</v>
      </c>
      <c r="H223" s="3" t="s">
        <v>360</v>
      </c>
      <c r="I223" s="4">
        <f>igre_en[Play Time]/SQRT(igre_en[Max Players]*igre_en[Min Players])</f>
        <v>3.5355339059327373</v>
      </c>
    </row>
    <row r="224" spans="1:9" x14ac:dyDescent="0.3">
      <c r="A224" s="3" t="s">
        <v>433</v>
      </c>
      <c r="B224">
        <v>1992</v>
      </c>
      <c r="C224">
        <v>2</v>
      </c>
      <c r="D224">
        <v>8</v>
      </c>
      <c r="E224">
        <v>20</v>
      </c>
      <c r="F224">
        <v>630</v>
      </c>
      <c r="G224">
        <v>138</v>
      </c>
      <c r="H224" s="3" t="s">
        <v>40</v>
      </c>
      <c r="I224" s="4">
        <f>igre_en[Play Time]/SQRT(igre_en[Max Players]*igre_en[Min Players])</f>
        <v>5</v>
      </c>
    </row>
    <row r="225" spans="1:9" x14ac:dyDescent="0.3">
      <c r="A225" s="3" t="s">
        <v>107</v>
      </c>
      <c r="B225">
        <v>2012</v>
      </c>
      <c r="C225">
        <v>2</v>
      </c>
      <c r="D225">
        <v>5</v>
      </c>
      <c r="E225">
        <v>120</v>
      </c>
      <c r="F225">
        <v>775</v>
      </c>
      <c r="G225">
        <v>246</v>
      </c>
      <c r="H225" s="3" t="s">
        <v>9</v>
      </c>
      <c r="I225" s="4">
        <f>igre_en[Play Time]/SQRT(igre_en[Max Players]*igre_en[Min Players])</f>
        <v>37.947331922020552</v>
      </c>
    </row>
    <row r="226" spans="1:9" x14ac:dyDescent="0.3">
      <c r="A226" s="3" t="s">
        <v>67</v>
      </c>
      <c r="B226">
        <v>2016</v>
      </c>
      <c r="C226">
        <v>2</v>
      </c>
      <c r="D226">
        <v>4</v>
      </c>
      <c r="E226">
        <v>120</v>
      </c>
      <c r="F226">
        <v>789</v>
      </c>
      <c r="G226">
        <v>328</v>
      </c>
      <c r="H226" s="3" t="s">
        <v>9</v>
      </c>
      <c r="I226" s="4">
        <f>igre_en[Play Time]/SQRT(igre_en[Max Players]*igre_en[Min Players])</f>
        <v>42.426406871192846</v>
      </c>
    </row>
    <row r="227" spans="1:9" x14ac:dyDescent="0.3">
      <c r="A227" s="3" t="s">
        <v>286</v>
      </c>
      <c r="B227">
        <v>1999</v>
      </c>
      <c r="C227">
        <v>2</v>
      </c>
      <c r="D227">
        <v>2</v>
      </c>
      <c r="E227">
        <v>30</v>
      </c>
      <c r="F227">
        <v>718</v>
      </c>
      <c r="G227">
        <v>150</v>
      </c>
      <c r="H227" s="3" t="s">
        <v>40</v>
      </c>
      <c r="I227" s="4">
        <f>igre_en[Play Time]/SQRT(igre_en[Max Players]*igre_en[Min Players])</f>
        <v>15</v>
      </c>
    </row>
    <row r="228" spans="1:9" x14ac:dyDescent="0.3">
      <c r="A228" s="3" t="s">
        <v>266</v>
      </c>
      <c r="B228">
        <v>2012</v>
      </c>
      <c r="C228">
        <v>2</v>
      </c>
      <c r="D228">
        <v>4</v>
      </c>
      <c r="E228">
        <v>20</v>
      </c>
      <c r="F228">
        <v>723</v>
      </c>
      <c r="G228">
        <v>119</v>
      </c>
      <c r="H228" s="3" t="s">
        <v>40</v>
      </c>
      <c r="I228" s="4">
        <f>igre_en[Play Time]/SQRT(igre_en[Max Players]*igre_en[Min Players])</f>
        <v>7.0710678118654746</v>
      </c>
    </row>
    <row r="229" spans="1:9" x14ac:dyDescent="0.3">
      <c r="A229" s="3" t="s">
        <v>403</v>
      </c>
      <c r="B229">
        <v>2012</v>
      </c>
      <c r="C229">
        <v>2</v>
      </c>
      <c r="D229">
        <v>4</v>
      </c>
      <c r="E229">
        <v>30</v>
      </c>
      <c r="F229">
        <v>663</v>
      </c>
      <c r="G229">
        <v>153</v>
      </c>
      <c r="H229" s="3" t="s">
        <v>40</v>
      </c>
      <c r="I229" s="4">
        <f>igre_en[Play Time]/SQRT(igre_en[Max Players]*igre_en[Min Players])</f>
        <v>10.606601717798211</v>
      </c>
    </row>
    <row r="230" spans="1:9" x14ac:dyDescent="0.3">
      <c r="A230" s="3" t="s">
        <v>41</v>
      </c>
      <c r="B230">
        <v>2011</v>
      </c>
      <c r="C230">
        <v>1</v>
      </c>
      <c r="D230">
        <v>4</v>
      </c>
      <c r="E230">
        <v>240</v>
      </c>
      <c r="F230">
        <v>810</v>
      </c>
      <c r="G230">
        <v>431</v>
      </c>
      <c r="H230" s="3" t="s">
        <v>9</v>
      </c>
      <c r="I230" s="4">
        <f>igre_en[Play Time]/SQRT(igre_en[Max Players]*igre_en[Min Players])</f>
        <v>120</v>
      </c>
    </row>
    <row r="231" spans="1:9" x14ac:dyDescent="0.3">
      <c r="A231" s="3" t="s">
        <v>131</v>
      </c>
      <c r="B231">
        <v>2012</v>
      </c>
      <c r="C231">
        <v>2</v>
      </c>
      <c r="D231">
        <v>2</v>
      </c>
      <c r="E231">
        <v>90</v>
      </c>
      <c r="F231">
        <v>764</v>
      </c>
      <c r="G231">
        <v>367</v>
      </c>
      <c r="H231" s="3" t="s">
        <v>28</v>
      </c>
      <c r="I231" s="4">
        <f>igre_en[Play Time]/SQRT(igre_en[Max Players]*igre_en[Min Players])</f>
        <v>45</v>
      </c>
    </row>
    <row r="232" spans="1:9" x14ac:dyDescent="0.3">
      <c r="A232" s="3" t="s">
        <v>329</v>
      </c>
      <c r="B232">
        <v>2017</v>
      </c>
      <c r="C232">
        <v>1</v>
      </c>
      <c r="D232">
        <v>8</v>
      </c>
      <c r="E232">
        <v>15</v>
      </c>
      <c r="F232">
        <v>705</v>
      </c>
      <c r="G232">
        <v>175</v>
      </c>
      <c r="H232" s="3" t="s">
        <v>40</v>
      </c>
      <c r="I232" s="4">
        <f>igre_en[Play Time]/SQRT(igre_en[Max Players]*igre_en[Min Players])</f>
        <v>5.3033008588991057</v>
      </c>
    </row>
    <row r="233" spans="1:9" x14ac:dyDescent="0.3">
      <c r="A233" s="3" t="s">
        <v>172</v>
      </c>
      <c r="B233">
        <v>1993</v>
      </c>
      <c r="C233">
        <v>2</v>
      </c>
      <c r="D233">
        <v>2</v>
      </c>
      <c r="E233">
        <v>20</v>
      </c>
      <c r="F233">
        <v>752</v>
      </c>
      <c r="G233">
        <v>322</v>
      </c>
      <c r="H233" s="3" t="s">
        <v>28</v>
      </c>
      <c r="I233" s="4">
        <f>igre_en[Play Time]/SQRT(igre_en[Max Players]*igre_en[Min Players])</f>
        <v>10</v>
      </c>
    </row>
    <row r="234" spans="1:9" x14ac:dyDescent="0.3">
      <c r="A234" s="3" t="s">
        <v>246</v>
      </c>
      <c r="B234">
        <v>2011</v>
      </c>
      <c r="C234">
        <v>2</v>
      </c>
      <c r="D234">
        <v>5</v>
      </c>
      <c r="E234">
        <v>180</v>
      </c>
      <c r="F234">
        <v>729</v>
      </c>
      <c r="G234">
        <v>324</v>
      </c>
      <c r="H234" s="3" t="s">
        <v>12</v>
      </c>
      <c r="I234" s="4">
        <f>igre_en[Play Time]/SQRT(igre_en[Max Players]*igre_en[Min Players])</f>
        <v>56.920997883030822</v>
      </c>
    </row>
    <row r="235" spans="1:9" x14ac:dyDescent="0.3">
      <c r="A235" s="3" t="s">
        <v>23</v>
      </c>
      <c r="B235">
        <v>2019</v>
      </c>
      <c r="C235">
        <v>1</v>
      </c>
      <c r="D235">
        <v>4</v>
      </c>
      <c r="E235">
        <v>120</v>
      </c>
      <c r="F235">
        <v>829</v>
      </c>
      <c r="G235">
        <v>387</v>
      </c>
      <c r="H235" s="3" t="s">
        <v>9</v>
      </c>
      <c r="I235" s="4">
        <f>igre_en[Play Time]/SQRT(igre_en[Max Players]*igre_en[Min Players])</f>
        <v>60</v>
      </c>
    </row>
    <row r="236" spans="1:9" x14ac:dyDescent="0.3">
      <c r="A236" s="3" t="s">
        <v>406</v>
      </c>
      <c r="B236">
        <v>2013</v>
      </c>
      <c r="C236">
        <v>2</v>
      </c>
      <c r="D236">
        <v>13</v>
      </c>
      <c r="E236">
        <v>30</v>
      </c>
      <c r="F236">
        <v>662</v>
      </c>
      <c r="G236">
        <v>153</v>
      </c>
      <c r="H236" s="3" t="s">
        <v>95</v>
      </c>
      <c r="I236" s="4">
        <f>igre_en[Play Time]/SQRT(igre_en[Max Players]*igre_en[Min Players])</f>
        <v>5.8834840541455211</v>
      </c>
    </row>
    <row r="237" spans="1:9" x14ac:dyDescent="0.3">
      <c r="A237" s="3" t="s">
        <v>50</v>
      </c>
      <c r="B237">
        <v>2016</v>
      </c>
      <c r="C237">
        <v>2</v>
      </c>
      <c r="D237">
        <v>4</v>
      </c>
      <c r="E237">
        <v>120</v>
      </c>
      <c r="F237">
        <v>805</v>
      </c>
      <c r="G237">
        <v>241</v>
      </c>
      <c r="H237" s="3" t="s">
        <v>9</v>
      </c>
      <c r="I237" s="4">
        <f>igre_en[Play Time]/SQRT(igre_en[Max Players]*igre_en[Min Players])</f>
        <v>42.426406871192846</v>
      </c>
    </row>
    <row r="238" spans="1:9" x14ac:dyDescent="0.3">
      <c r="A238" s="3" t="s">
        <v>159</v>
      </c>
      <c r="B238">
        <v>2004</v>
      </c>
      <c r="C238">
        <v>2</v>
      </c>
      <c r="D238">
        <v>8</v>
      </c>
      <c r="E238">
        <v>60</v>
      </c>
      <c r="F238">
        <v>756</v>
      </c>
      <c r="G238">
        <v>227</v>
      </c>
      <c r="H238" s="3" t="s">
        <v>97</v>
      </c>
      <c r="I238" s="4">
        <f>igre_en[Play Time]/SQRT(igre_en[Max Players]*igre_en[Min Players])</f>
        <v>15</v>
      </c>
    </row>
    <row r="239" spans="1:9" x14ac:dyDescent="0.3">
      <c r="A239" s="3" t="s">
        <v>203</v>
      </c>
      <c r="B239">
        <v>2010</v>
      </c>
      <c r="C239">
        <v>2</v>
      </c>
      <c r="D239">
        <v>4</v>
      </c>
      <c r="E239">
        <v>180</v>
      </c>
      <c r="F239">
        <v>741</v>
      </c>
      <c r="G239">
        <v>324</v>
      </c>
      <c r="H239" s="3" t="s">
        <v>12</v>
      </c>
      <c r="I239" s="4">
        <f>igre_en[Play Time]/SQRT(igre_en[Max Players]*igre_en[Min Players])</f>
        <v>63.639610306789272</v>
      </c>
    </row>
    <row r="240" spans="1:9" x14ac:dyDescent="0.3">
      <c r="A240" s="3" t="s">
        <v>241</v>
      </c>
      <c r="B240">
        <v>2012</v>
      </c>
      <c r="C240">
        <v>1</v>
      </c>
      <c r="D240">
        <v>4</v>
      </c>
      <c r="E240">
        <v>90</v>
      </c>
      <c r="F240">
        <v>730</v>
      </c>
      <c r="G240">
        <v>271</v>
      </c>
      <c r="H240" s="3" t="s">
        <v>12</v>
      </c>
      <c r="I240" s="4">
        <f>igre_en[Play Time]/SQRT(igre_en[Max Players]*igre_en[Min Players])</f>
        <v>45</v>
      </c>
    </row>
    <row r="241" spans="1:9" x14ac:dyDescent="0.3">
      <c r="A241" s="3" t="s">
        <v>458</v>
      </c>
      <c r="B241">
        <v>1954</v>
      </c>
      <c r="C241">
        <v>2</v>
      </c>
      <c r="D241">
        <v>6</v>
      </c>
      <c r="E241">
        <v>45</v>
      </c>
      <c r="F241">
        <v>570</v>
      </c>
      <c r="G241">
        <v>125</v>
      </c>
      <c r="H241" s="3" t="s">
        <v>40</v>
      </c>
      <c r="I241" s="4">
        <f>igre_en[Play Time]/SQRT(igre_en[Max Players]*igre_en[Min Players])</f>
        <v>12.99038105676658</v>
      </c>
    </row>
    <row r="242" spans="1:9" x14ac:dyDescent="0.3">
      <c r="A242" s="3" t="s">
        <v>339</v>
      </c>
      <c r="B242">
        <v>2017</v>
      </c>
      <c r="C242">
        <v>1</v>
      </c>
      <c r="D242">
        <v>4</v>
      </c>
      <c r="E242">
        <v>20</v>
      </c>
      <c r="F242">
        <v>703</v>
      </c>
      <c r="G242">
        <v>165</v>
      </c>
      <c r="H242" s="3" t="s">
        <v>9</v>
      </c>
      <c r="I242" s="4">
        <f>igre_en[Play Time]/SQRT(igre_en[Max Players]*igre_en[Min Players])</f>
        <v>10</v>
      </c>
    </row>
    <row r="243" spans="1:9" x14ac:dyDescent="0.3">
      <c r="A243" s="3" t="s">
        <v>212</v>
      </c>
      <c r="B243">
        <v>1992</v>
      </c>
      <c r="C243">
        <v>3</v>
      </c>
      <c r="D243">
        <v>5</v>
      </c>
      <c r="E243">
        <v>45</v>
      </c>
      <c r="F243">
        <v>740</v>
      </c>
      <c r="G243">
        <v>230</v>
      </c>
      <c r="H243" s="3" t="s">
        <v>9</v>
      </c>
      <c r="I243" s="4">
        <f>igre_en[Play Time]/SQRT(igre_en[Max Players]*igre_en[Min Players])</f>
        <v>11.61895003862225</v>
      </c>
    </row>
    <row r="244" spans="1:9" x14ac:dyDescent="0.3">
      <c r="A244" s="3" t="s">
        <v>71</v>
      </c>
      <c r="B244">
        <v>2015</v>
      </c>
      <c r="C244">
        <v>2</v>
      </c>
      <c r="D244">
        <v>4</v>
      </c>
      <c r="E244">
        <v>150</v>
      </c>
      <c r="F244">
        <v>788</v>
      </c>
      <c r="G244">
        <v>390</v>
      </c>
      <c r="H244" s="3" t="s">
        <v>9</v>
      </c>
      <c r="I244" s="4">
        <f>igre_en[Play Time]/SQRT(igre_en[Max Players]*igre_en[Min Players])</f>
        <v>53.033008588991059</v>
      </c>
    </row>
    <row r="245" spans="1:9" x14ac:dyDescent="0.3">
      <c r="A245" s="3" t="s">
        <v>470</v>
      </c>
      <c r="B245">
        <v>1933</v>
      </c>
      <c r="C245">
        <v>2</v>
      </c>
      <c r="D245">
        <v>8</v>
      </c>
      <c r="E245">
        <v>180</v>
      </c>
      <c r="F245">
        <v>439</v>
      </c>
      <c r="G245">
        <v>165</v>
      </c>
      <c r="H245" s="3" t="s">
        <v>40</v>
      </c>
      <c r="I245" s="4">
        <f>igre_en[Play Time]/SQRT(igre_en[Max Players]*igre_en[Min Players])</f>
        <v>45</v>
      </c>
    </row>
    <row r="246" spans="1:9" x14ac:dyDescent="0.3">
      <c r="A246" s="3" t="s">
        <v>434</v>
      </c>
      <c r="B246">
        <v>2008</v>
      </c>
      <c r="C246">
        <v>2</v>
      </c>
      <c r="D246">
        <v>5</v>
      </c>
      <c r="E246">
        <v>15</v>
      </c>
      <c r="F246">
        <v>629</v>
      </c>
      <c r="G246">
        <v>133</v>
      </c>
      <c r="H246" s="3" t="s">
        <v>40</v>
      </c>
      <c r="I246" s="4">
        <f>igre_en[Play Time]/SQRT(igre_en[Max Players]*igre_en[Min Players])</f>
        <v>4.7434164902525691</v>
      </c>
    </row>
    <row r="247" spans="1:9" x14ac:dyDescent="0.3">
      <c r="A247" s="3" t="s">
        <v>447</v>
      </c>
      <c r="B247">
        <v>2008</v>
      </c>
      <c r="C247">
        <v>2</v>
      </c>
      <c r="D247">
        <v>6</v>
      </c>
      <c r="E247">
        <v>40</v>
      </c>
      <c r="F247">
        <v>606</v>
      </c>
      <c r="G247">
        <v>135</v>
      </c>
      <c r="H247" s="3" t="s">
        <v>95</v>
      </c>
      <c r="I247" s="4">
        <f>igre_en[Play Time]/SQRT(igre_en[Max Players]*igre_en[Min Players])</f>
        <v>11.547005383792516</v>
      </c>
    </row>
    <row r="248" spans="1:9" x14ac:dyDescent="0.3">
      <c r="A248" s="3" t="s">
        <v>346</v>
      </c>
      <c r="B248">
        <v>2012</v>
      </c>
      <c r="C248">
        <v>2</v>
      </c>
      <c r="D248">
        <v>2</v>
      </c>
      <c r="E248">
        <v>30</v>
      </c>
      <c r="F248">
        <v>700</v>
      </c>
      <c r="G248">
        <v>174</v>
      </c>
      <c r="H248" s="3" t="s">
        <v>40</v>
      </c>
      <c r="I248" s="4">
        <f>igre_en[Play Time]/SQRT(igre_en[Max Players]*igre_en[Min Players])</f>
        <v>15</v>
      </c>
    </row>
    <row r="249" spans="1:9" x14ac:dyDescent="0.3">
      <c r="A249" s="3" t="s">
        <v>344</v>
      </c>
      <c r="B249">
        <v>2006</v>
      </c>
      <c r="C249">
        <v>2</v>
      </c>
      <c r="D249">
        <v>2</v>
      </c>
      <c r="E249">
        <v>30</v>
      </c>
      <c r="F249">
        <v>701</v>
      </c>
      <c r="G249">
        <v>218</v>
      </c>
      <c r="H249" s="3" t="s">
        <v>9</v>
      </c>
      <c r="I249" s="4">
        <f>igre_en[Play Time]/SQRT(igre_en[Max Players]*igre_en[Min Players])</f>
        <v>15</v>
      </c>
    </row>
    <row r="250" spans="1:9" x14ac:dyDescent="0.3">
      <c r="A250" s="3" t="s">
        <v>370</v>
      </c>
      <c r="B250">
        <v>2010</v>
      </c>
      <c r="C250">
        <v>2</v>
      </c>
      <c r="D250">
        <v>2</v>
      </c>
      <c r="E250">
        <v>15</v>
      </c>
      <c r="F250">
        <v>690</v>
      </c>
      <c r="G250">
        <v>182</v>
      </c>
      <c r="H250" s="3" t="s">
        <v>9</v>
      </c>
      <c r="I250" s="4">
        <f>igre_en[Play Time]/SQRT(igre_en[Max Players]*igre_en[Min Players])</f>
        <v>7.5</v>
      </c>
    </row>
    <row r="251" spans="1:9" x14ac:dyDescent="0.3">
      <c r="A251" s="3" t="s">
        <v>453</v>
      </c>
      <c r="B251">
        <v>2001</v>
      </c>
      <c r="C251">
        <v>3</v>
      </c>
      <c r="D251">
        <v>6</v>
      </c>
      <c r="E251">
        <v>120</v>
      </c>
      <c r="F251">
        <v>590</v>
      </c>
      <c r="G251">
        <v>180</v>
      </c>
      <c r="H251" s="3" t="s">
        <v>12</v>
      </c>
      <c r="I251" s="4">
        <f>igre_en[Play Time]/SQRT(igre_en[Max Players]*igre_en[Min Players])</f>
        <v>28.284271247461902</v>
      </c>
    </row>
    <row r="252" spans="1:9" x14ac:dyDescent="0.3">
      <c r="A252" s="3" t="s">
        <v>440</v>
      </c>
      <c r="B252">
        <v>2007</v>
      </c>
      <c r="C252">
        <v>3</v>
      </c>
      <c r="D252">
        <v>6</v>
      </c>
      <c r="E252">
        <v>90</v>
      </c>
      <c r="F252">
        <v>620</v>
      </c>
      <c r="G252">
        <v>171</v>
      </c>
      <c r="H252" s="3" t="s">
        <v>12</v>
      </c>
      <c r="I252" s="4">
        <f>igre_en[Play Time]/SQRT(igre_en[Max Players]*igre_en[Min Players])</f>
        <v>21.213203435596427</v>
      </c>
    </row>
    <row r="253" spans="1:9" x14ac:dyDescent="0.3">
      <c r="A253" s="3" t="s">
        <v>244</v>
      </c>
      <c r="B253">
        <v>2015</v>
      </c>
      <c r="C253">
        <v>2</v>
      </c>
      <c r="D253">
        <v>7</v>
      </c>
      <c r="E253">
        <v>42</v>
      </c>
      <c r="F253">
        <v>730</v>
      </c>
      <c r="G253">
        <v>191</v>
      </c>
      <c r="H253" s="3" t="s">
        <v>40</v>
      </c>
      <c r="I253" s="4">
        <f>igre_en[Play Time]/SQRT(igre_en[Max Players]*igre_en[Min Players])</f>
        <v>11.224972160321824</v>
      </c>
    </row>
    <row r="254" spans="1:9" x14ac:dyDescent="0.3">
      <c r="A254" s="3" t="s">
        <v>243</v>
      </c>
      <c r="B254">
        <v>2016</v>
      </c>
      <c r="C254">
        <v>2</v>
      </c>
      <c r="D254">
        <v>4</v>
      </c>
      <c r="E254">
        <v>45</v>
      </c>
      <c r="F254">
        <v>730</v>
      </c>
      <c r="G254">
        <v>225</v>
      </c>
      <c r="H254" s="3" t="s">
        <v>9</v>
      </c>
      <c r="I254" s="4">
        <f>igre_en[Play Time]/SQRT(igre_en[Max Players]*igre_en[Min Players])</f>
        <v>15.909902576697318</v>
      </c>
    </row>
    <row r="255" spans="1:9" x14ac:dyDescent="0.3">
      <c r="A255" s="3" t="s">
        <v>132</v>
      </c>
      <c r="B255">
        <v>2013</v>
      </c>
      <c r="C255">
        <v>1</v>
      </c>
      <c r="D255">
        <v>5</v>
      </c>
      <c r="E255">
        <v>200</v>
      </c>
      <c r="F255">
        <v>764</v>
      </c>
      <c r="G255">
        <v>354</v>
      </c>
      <c r="H255" s="3" t="s">
        <v>9</v>
      </c>
      <c r="I255" s="4">
        <f>igre_en[Play Time]/SQRT(igre_en[Max Players]*igre_en[Min Players])</f>
        <v>89.442719099991578</v>
      </c>
    </row>
    <row r="256" spans="1:9" x14ac:dyDescent="0.3">
      <c r="A256" s="3" t="s">
        <v>88</v>
      </c>
      <c r="B256">
        <v>2017</v>
      </c>
      <c r="C256">
        <v>2</v>
      </c>
      <c r="D256">
        <v>4</v>
      </c>
      <c r="E256">
        <v>120</v>
      </c>
      <c r="F256">
        <v>781</v>
      </c>
      <c r="G256">
        <v>282</v>
      </c>
      <c r="H256" s="3" t="s">
        <v>12</v>
      </c>
      <c r="I256" s="4">
        <f>igre_en[Play Time]/SQRT(igre_en[Max Players]*igre_en[Min Players])</f>
        <v>42.426406871192846</v>
      </c>
    </row>
    <row r="257" spans="1:9" x14ac:dyDescent="0.3">
      <c r="A257" s="3" t="s">
        <v>18</v>
      </c>
      <c r="B257">
        <v>2018</v>
      </c>
      <c r="C257">
        <v>1</v>
      </c>
      <c r="D257">
        <v>5</v>
      </c>
      <c r="E257">
        <v>180</v>
      </c>
      <c r="F257">
        <v>840</v>
      </c>
      <c r="G257">
        <v>335</v>
      </c>
      <c r="H257" s="3" t="s">
        <v>12</v>
      </c>
      <c r="I257" s="4">
        <f>igre_en[Play Time]/SQRT(igre_en[Max Players]*igre_en[Min Players])</f>
        <v>80.498447189992419</v>
      </c>
    </row>
    <row r="258" spans="1:9" x14ac:dyDescent="0.3">
      <c r="A258" s="3" t="s">
        <v>210</v>
      </c>
      <c r="B258">
        <v>2006</v>
      </c>
      <c r="C258">
        <v>1</v>
      </c>
      <c r="D258">
        <v>4</v>
      </c>
      <c r="E258">
        <v>30</v>
      </c>
      <c r="F258">
        <v>740</v>
      </c>
      <c r="G258">
        <v>261</v>
      </c>
      <c r="H258" s="3" t="s">
        <v>9</v>
      </c>
      <c r="I258" s="4">
        <f>igre_en[Play Time]/SQRT(igre_en[Max Players]*igre_en[Min Players])</f>
        <v>15</v>
      </c>
    </row>
    <row r="259" spans="1:9" x14ac:dyDescent="0.3">
      <c r="A259" s="3" t="s">
        <v>270</v>
      </c>
      <c r="B259">
        <v>2005</v>
      </c>
      <c r="C259">
        <v>2</v>
      </c>
      <c r="D259">
        <v>4</v>
      </c>
      <c r="E259">
        <v>90</v>
      </c>
      <c r="F259">
        <v>722</v>
      </c>
      <c r="G259">
        <v>223</v>
      </c>
      <c r="H259" s="3" t="s">
        <v>12</v>
      </c>
      <c r="I259" s="4">
        <f>igre_en[Play Time]/SQRT(igre_en[Max Players]*igre_en[Min Players])</f>
        <v>31.819805153394636</v>
      </c>
    </row>
    <row r="260" spans="1:9" x14ac:dyDescent="0.3">
      <c r="A260" s="3" t="s">
        <v>330</v>
      </c>
      <c r="B260">
        <v>2004</v>
      </c>
      <c r="C260">
        <v>3</v>
      </c>
      <c r="D260">
        <v>7</v>
      </c>
      <c r="E260">
        <v>20</v>
      </c>
      <c r="F260">
        <v>705</v>
      </c>
      <c r="G260">
        <v>114</v>
      </c>
      <c r="H260" s="3" t="s">
        <v>40</v>
      </c>
      <c r="I260" s="4">
        <f>igre_en[Play Time]/SQRT(igre_en[Max Players]*igre_en[Min Players])</f>
        <v>4.3643578047198481</v>
      </c>
    </row>
    <row r="261" spans="1:9" x14ac:dyDescent="0.3">
      <c r="A261" s="3" t="s">
        <v>342</v>
      </c>
      <c r="B261">
        <v>2016</v>
      </c>
      <c r="C261">
        <v>2</v>
      </c>
      <c r="D261">
        <v>7</v>
      </c>
      <c r="E261">
        <v>45</v>
      </c>
      <c r="F261">
        <v>702</v>
      </c>
      <c r="G261">
        <v>196</v>
      </c>
      <c r="H261" s="3" t="s">
        <v>9</v>
      </c>
      <c r="I261" s="4">
        <f>igre_en[Play Time]/SQRT(igre_en[Max Players]*igre_en[Min Players])</f>
        <v>12.026755886059098</v>
      </c>
    </row>
    <row r="262" spans="1:9" x14ac:dyDescent="0.3">
      <c r="A262" s="3" t="s">
        <v>227</v>
      </c>
      <c r="B262">
        <v>2007</v>
      </c>
      <c r="C262">
        <v>2</v>
      </c>
      <c r="D262">
        <v>5</v>
      </c>
      <c r="E262">
        <v>75</v>
      </c>
      <c r="F262">
        <v>734</v>
      </c>
      <c r="G262">
        <v>275</v>
      </c>
      <c r="H262" s="3" t="s">
        <v>9</v>
      </c>
      <c r="I262" s="4">
        <f>igre_en[Play Time]/SQRT(igre_en[Max Players]*igre_en[Min Players])</f>
        <v>23.717082451262844</v>
      </c>
    </row>
    <row r="263" spans="1:9" x14ac:dyDescent="0.3">
      <c r="A263" s="3" t="s">
        <v>343</v>
      </c>
      <c r="B263">
        <v>2015</v>
      </c>
      <c r="C263">
        <v>2</v>
      </c>
      <c r="D263">
        <v>4</v>
      </c>
      <c r="E263">
        <v>30</v>
      </c>
      <c r="F263">
        <v>701</v>
      </c>
      <c r="G263">
        <v>230</v>
      </c>
      <c r="H263" s="3" t="s">
        <v>9</v>
      </c>
      <c r="I263" s="4">
        <f>igre_en[Play Time]/SQRT(igre_en[Max Players]*igre_en[Min Players])</f>
        <v>10.606601717798211</v>
      </c>
    </row>
    <row r="264" spans="1:9" x14ac:dyDescent="0.3">
      <c r="A264" s="3" t="s">
        <v>21</v>
      </c>
      <c r="B264">
        <v>2020</v>
      </c>
      <c r="C264">
        <v>1</v>
      </c>
      <c r="D264">
        <v>4</v>
      </c>
      <c r="E264">
        <v>150</v>
      </c>
      <c r="F264">
        <v>830</v>
      </c>
      <c r="G264">
        <v>463</v>
      </c>
      <c r="H264" s="3" t="s">
        <v>9</v>
      </c>
      <c r="I264" s="4">
        <f>igre_en[Play Time]/SQRT(igre_en[Max Players]*igre_en[Min Players])</f>
        <v>75</v>
      </c>
    </row>
    <row r="265" spans="1:9" x14ac:dyDescent="0.3">
      <c r="A265" s="3" t="s">
        <v>317</v>
      </c>
      <c r="B265">
        <v>2016</v>
      </c>
      <c r="C265">
        <v>1</v>
      </c>
      <c r="D265">
        <v>2</v>
      </c>
      <c r="E265">
        <v>45</v>
      </c>
      <c r="F265">
        <v>707</v>
      </c>
      <c r="G265">
        <v>205</v>
      </c>
      <c r="H265" s="3" t="s">
        <v>12</v>
      </c>
      <c r="I265" s="4">
        <f>igre_en[Play Time]/SQRT(igre_en[Max Players]*igre_en[Min Players])</f>
        <v>31.819805153394636</v>
      </c>
    </row>
    <row r="266" spans="1:9" x14ac:dyDescent="0.3">
      <c r="A266" s="3" t="s">
        <v>293</v>
      </c>
      <c r="B266">
        <v>2014</v>
      </c>
      <c r="C266">
        <v>3</v>
      </c>
      <c r="D266">
        <v>10</v>
      </c>
      <c r="E266">
        <v>10</v>
      </c>
      <c r="F266">
        <v>714</v>
      </c>
      <c r="G266">
        <v>139</v>
      </c>
      <c r="H266" s="3" t="s">
        <v>95</v>
      </c>
      <c r="I266" s="4">
        <f>igre_en[Play Time]/SQRT(igre_en[Max Players]*igre_en[Min Players])</f>
        <v>1.8257418583505538</v>
      </c>
    </row>
    <row r="267" spans="1:9" x14ac:dyDescent="0.3">
      <c r="A267" s="3" t="s">
        <v>313</v>
      </c>
      <c r="B267">
        <v>2014</v>
      </c>
      <c r="C267">
        <v>1</v>
      </c>
      <c r="D267">
        <v>2</v>
      </c>
      <c r="E267">
        <v>15</v>
      </c>
      <c r="F267">
        <v>709</v>
      </c>
      <c r="G267">
        <v>157</v>
      </c>
      <c r="H267" s="3" t="s">
        <v>40</v>
      </c>
      <c r="I267" s="4">
        <f>igre_en[Play Time]/SQRT(igre_en[Max Players]*igre_en[Min Players])</f>
        <v>10.606601717798211</v>
      </c>
    </row>
    <row r="268" spans="1:9" x14ac:dyDescent="0.3">
      <c r="A268" s="3" t="s">
        <v>213</v>
      </c>
      <c r="B268">
        <v>2014</v>
      </c>
      <c r="C268">
        <v>2</v>
      </c>
      <c r="D268">
        <v>2</v>
      </c>
      <c r="E268">
        <v>20</v>
      </c>
      <c r="F268">
        <v>740</v>
      </c>
      <c r="G268">
        <v>171</v>
      </c>
      <c r="H268" s="3" t="s">
        <v>84</v>
      </c>
      <c r="I268" s="4">
        <f>igre_en[Play Time]/SQRT(igre_en[Max Players]*igre_en[Min Players])</f>
        <v>10</v>
      </c>
    </row>
    <row r="269" spans="1:9" x14ac:dyDescent="0.3">
      <c r="A269" s="3" t="s">
        <v>116</v>
      </c>
      <c r="B269">
        <v>2011</v>
      </c>
      <c r="C269">
        <v>1</v>
      </c>
      <c r="D269">
        <v>4</v>
      </c>
      <c r="E269">
        <v>180</v>
      </c>
      <c r="F269">
        <v>771</v>
      </c>
      <c r="G269">
        <v>390</v>
      </c>
      <c r="H269" s="3" t="s">
        <v>9</v>
      </c>
      <c r="I269" s="4">
        <f>igre_en[Play Time]/SQRT(igre_en[Max Players]*igre_en[Min Players])</f>
        <v>90</v>
      </c>
    </row>
    <row r="270" spans="1:9" x14ac:dyDescent="0.3">
      <c r="A270" s="3" t="s">
        <v>472</v>
      </c>
      <c r="B270">
        <v>2014</v>
      </c>
      <c r="C270">
        <v>2</v>
      </c>
      <c r="D270">
        <v>4</v>
      </c>
      <c r="E270">
        <v>90</v>
      </c>
      <c r="F270">
        <v>809</v>
      </c>
      <c r="G270">
        <v>305</v>
      </c>
      <c r="H270" s="3" t="s">
        <v>9</v>
      </c>
      <c r="I270" s="4">
        <f>igre_en[Play Time]/SQRT(igre_en[Max Players]*igre_en[Min Players])</f>
        <v>31.819805153394636</v>
      </c>
    </row>
    <row r="271" spans="1:9" x14ac:dyDescent="0.3">
      <c r="A271" s="3" t="s">
        <v>445</v>
      </c>
      <c r="B271">
        <v>1883</v>
      </c>
      <c r="C271">
        <v>2</v>
      </c>
      <c r="D271">
        <v>2</v>
      </c>
      <c r="E271">
        <v>30</v>
      </c>
      <c r="F271">
        <v>610</v>
      </c>
      <c r="G271">
        <v>210</v>
      </c>
      <c r="H271" s="3" t="s">
        <v>84</v>
      </c>
      <c r="I271" s="4">
        <f>igre_en[Play Time]/SQRT(igre_en[Max Players]*igre_en[Min Players])</f>
        <v>15</v>
      </c>
    </row>
    <row r="272" spans="1:9" x14ac:dyDescent="0.3">
      <c r="A272" s="3" t="s">
        <v>49</v>
      </c>
      <c r="B272">
        <v>2019</v>
      </c>
      <c r="C272">
        <v>1</v>
      </c>
      <c r="D272">
        <v>4</v>
      </c>
      <c r="E272">
        <v>120</v>
      </c>
      <c r="F272">
        <v>807</v>
      </c>
      <c r="G272">
        <v>367</v>
      </c>
      <c r="H272" s="3" t="s">
        <v>9</v>
      </c>
      <c r="I272" s="4">
        <f>igre_en[Play Time]/SQRT(igre_en[Max Players]*igre_en[Min Players])</f>
        <v>60</v>
      </c>
    </row>
    <row r="273" spans="1:9" x14ac:dyDescent="0.3">
      <c r="A273" s="3" t="s">
        <v>142</v>
      </c>
      <c r="B273">
        <v>2008</v>
      </c>
      <c r="C273">
        <v>2</v>
      </c>
      <c r="D273">
        <v>4</v>
      </c>
      <c r="E273">
        <v>45</v>
      </c>
      <c r="F273">
        <v>761</v>
      </c>
      <c r="G273">
        <v>241</v>
      </c>
      <c r="H273" s="3" t="s">
        <v>40</v>
      </c>
      <c r="I273" s="4">
        <f>igre_en[Play Time]/SQRT(igre_en[Max Players]*igre_en[Min Players])</f>
        <v>15.909902576697318</v>
      </c>
    </row>
    <row r="274" spans="1:9" x14ac:dyDescent="0.3">
      <c r="A274" s="3" t="s">
        <v>14</v>
      </c>
      <c r="B274">
        <v>2015</v>
      </c>
      <c r="C274">
        <v>2</v>
      </c>
      <c r="D274">
        <v>4</v>
      </c>
      <c r="E274">
        <v>60</v>
      </c>
      <c r="F274">
        <v>861</v>
      </c>
      <c r="G274">
        <v>284</v>
      </c>
      <c r="H274" s="3" t="s">
        <v>9</v>
      </c>
      <c r="I274" s="4">
        <f>igre_en[Play Time]/SQRT(igre_en[Max Players]*igre_en[Min Players])</f>
        <v>21.213203435596423</v>
      </c>
    </row>
    <row r="275" spans="1:9" x14ac:dyDescent="0.3">
      <c r="A275" s="3" t="s">
        <v>30</v>
      </c>
      <c r="B275">
        <v>2017</v>
      </c>
      <c r="C275">
        <v>2</v>
      </c>
      <c r="D275">
        <v>4</v>
      </c>
      <c r="E275">
        <v>60</v>
      </c>
      <c r="F275">
        <v>815</v>
      </c>
      <c r="G275">
        <v>325</v>
      </c>
      <c r="H275" s="3" t="s">
        <v>9</v>
      </c>
      <c r="I275" s="4">
        <f>igre_en[Play Time]/SQRT(igre_en[Max Players]*igre_en[Min Players])</f>
        <v>21.213203435596423</v>
      </c>
    </row>
    <row r="276" spans="1:9" x14ac:dyDescent="0.3">
      <c r="A276" s="3" t="s">
        <v>64</v>
      </c>
      <c r="B276">
        <v>2016</v>
      </c>
      <c r="C276">
        <v>2</v>
      </c>
      <c r="D276">
        <v>5</v>
      </c>
      <c r="E276">
        <v>45</v>
      </c>
      <c r="F276">
        <v>792</v>
      </c>
      <c r="G276">
        <v>258</v>
      </c>
      <c r="H276" s="3" t="s">
        <v>9</v>
      </c>
      <c r="I276" s="4">
        <f>igre_en[Play Time]/SQRT(igre_en[Max Players]*igre_en[Min Players])</f>
        <v>14.230249470757705</v>
      </c>
    </row>
    <row r="277" spans="1:9" x14ac:dyDescent="0.3">
      <c r="A277" s="3" t="s">
        <v>208</v>
      </c>
      <c r="B277">
        <v>2016</v>
      </c>
      <c r="C277">
        <v>2</v>
      </c>
      <c r="D277">
        <v>4</v>
      </c>
      <c r="E277">
        <v>40</v>
      </c>
      <c r="F277">
        <v>740</v>
      </c>
      <c r="G277">
        <v>218</v>
      </c>
      <c r="H277" s="3" t="s">
        <v>9</v>
      </c>
      <c r="I277" s="4">
        <f>igre_en[Play Time]/SQRT(igre_en[Max Players]*igre_en[Min Players])</f>
        <v>14.142135623730949</v>
      </c>
    </row>
    <row r="278" spans="1:9" x14ac:dyDescent="0.3">
      <c r="A278" s="3" t="s">
        <v>240</v>
      </c>
      <c r="B278">
        <v>2014</v>
      </c>
      <c r="C278">
        <v>2</v>
      </c>
      <c r="D278">
        <v>5</v>
      </c>
      <c r="E278">
        <v>30</v>
      </c>
      <c r="F278">
        <v>730</v>
      </c>
      <c r="G278">
        <v>206</v>
      </c>
      <c r="H278" s="3" t="s">
        <v>40</v>
      </c>
      <c r="I278" s="4">
        <f>igre_en[Play Time]/SQRT(igre_en[Max Players]*igre_en[Min Players])</f>
        <v>9.4868329805051381</v>
      </c>
    </row>
    <row r="279" spans="1:9" x14ac:dyDescent="0.3">
      <c r="A279" s="3" t="s">
        <v>287</v>
      </c>
      <c r="B279">
        <v>2014</v>
      </c>
      <c r="C279">
        <v>2</v>
      </c>
      <c r="D279">
        <v>5</v>
      </c>
      <c r="E279">
        <v>45</v>
      </c>
      <c r="F279">
        <v>718</v>
      </c>
      <c r="G279">
        <v>199</v>
      </c>
      <c r="H279" s="3" t="s">
        <v>40</v>
      </c>
      <c r="I279" s="4">
        <f>igre_en[Play Time]/SQRT(igre_en[Max Players]*igre_en[Min Players])</f>
        <v>14.230249470757705</v>
      </c>
    </row>
    <row r="280" spans="1:9" x14ac:dyDescent="0.3">
      <c r="A280" s="3" t="s">
        <v>69</v>
      </c>
      <c r="B280">
        <v>2019</v>
      </c>
      <c r="C280">
        <v>1</v>
      </c>
      <c r="D280">
        <v>5</v>
      </c>
      <c r="E280">
        <v>60</v>
      </c>
      <c r="F280">
        <v>789</v>
      </c>
      <c r="G280">
        <v>217</v>
      </c>
      <c r="H280" s="3" t="s">
        <v>40</v>
      </c>
      <c r="I280" s="4">
        <f>igre_en[Play Time]/SQRT(igre_en[Max Players]*igre_en[Min Players])</f>
        <v>26.832815729997474</v>
      </c>
    </row>
    <row r="281" spans="1:9" x14ac:dyDescent="0.3">
      <c r="A281" s="3" t="s">
        <v>127</v>
      </c>
      <c r="B281">
        <v>2014</v>
      </c>
      <c r="C281">
        <v>2</v>
      </c>
      <c r="D281">
        <v>2</v>
      </c>
      <c r="E281">
        <v>30</v>
      </c>
      <c r="F281">
        <v>766</v>
      </c>
      <c r="G281">
        <v>164</v>
      </c>
      <c r="H281" s="3" t="s">
        <v>84</v>
      </c>
      <c r="I281" s="4">
        <f>igre_en[Play Time]/SQRT(igre_en[Max Players]*igre_en[Min Players])</f>
        <v>15</v>
      </c>
    </row>
    <row r="282" spans="1:9" x14ac:dyDescent="0.3">
      <c r="A282" s="3" t="s">
        <v>371</v>
      </c>
      <c r="B282">
        <v>1800</v>
      </c>
      <c r="C282">
        <v>2</v>
      </c>
      <c r="D282">
        <v>6</v>
      </c>
      <c r="E282">
        <v>30</v>
      </c>
      <c r="F282">
        <v>690</v>
      </c>
      <c r="G282">
        <v>126</v>
      </c>
      <c r="H282" s="3" t="s">
        <v>40</v>
      </c>
      <c r="I282" s="4">
        <f>igre_en[Play Time]/SQRT(igre_en[Max Players]*igre_en[Min Players])</f>
        <v>8.6602540378443873</v>
      </c>
    </row>
    <row r="283" spans="1:9" x14ac:dyDescent="0.3">
      <c r="A283" s="3" t="s">
        <v>468</v>
      </c>
      <c r="B283">
        <v>1982</v>
      </c>
      <c r="C283">
        <v>2</v>
      </c>
      <c r="D283">
        <v>6</v>
      </c>
      <c r="E283">
        <v>45</v>
      </c>
      <c r="F283">
        <v>513</v>
      </c>
      <c r="G283">
        <v>129</v>
      </c>
      <c r="H283" s="3" t="s">
        <v>40</v>
      </c>
      <c r="I283" s="4">
        <f>igre_en[Play Time]/SQRT(igre_en[Max Players]*igre_en[Min Players])</f>
        <v>12.99038105676658</v>
      </c>
    </row>
    <row r="284" spans="1:9" x14ac:dyDescent="0.3">
      <c r="A284" s="3" t="s">
        <v>300</v>
      </c>
      <c r="B284">
        <v>2017</v>
      </c>
      <c r="C284">
        <v>2</v>
      </c>
      <c r="D284">
        <v>4</v>
      </c>
      <c r="E284">
        <v>60</v>
      </c>
      <c r="F284">
        <v>713</v>
      </c>
      <c r="G284">
        <v>228</v>
      </c>
      <c r="H284" s="3" t="s">
        <v>84</v>
      </c>
      <c r="I284" s="4">
        <f>igre_en[Play Time]/SQRT(igre_en[Max Players]*igre_en[Min Players])</f>
        <v>21.213203435596423</v>
      </c>
    </row>
    <row r="285" spans="1:9" x14ac:dyDescent="0.3">
      <c r="A285" s="3" t="s">
        <v>414</v>
      </c>
      <c r="B285">
        <v>2005</v>
      </c>
      <c r="C285">
        <v>2</v>
      </c>
      <c r="D285">
        <v>7</v>
      </c>
      <c r="E285">
        <v>20</v>
      </c>
      <c r="F285">
        <v>656</v>
      </c>
      <c r="G285">
        <v>115</v>
      </c>
      <c r="H285" s="3" t="s">
        <v>40</v>
      </c>
      <c r="I285" s="4">
        <f>igre_en[Play Time]/SQRT(igre_en[Max Players]*igre_en[Min Players])</f>
        <v>5.3452248382484875</v>
      </c>
    </row>
    <row r="286" spans="1:9" x14ac:dyDescent="0.3">
      <c r="A286" s="3" t="s">
        <v>454</v>
      </c>
      <c r="B286">
        <v>1985</v>
      </c>
      <c r="C286">
        <v>3</v>
      </c>
      <c r="D286">
        <v>16</v>
      </c>
      <c r="E286">
        <v>90</v>
      </c>
      <c r="F286">
        <v>583</v>
      </c>
      <c r="G286">
        <v>124</v>
      </c>
      <c r="H286" s="3" t="s">
        <v>95</v>
      </c>
      <c r="I286" s="4">
        <f>igre_en[Play Time]/SQRT(igre_en[Max Players]*igre_en[Min Players])</f>
        <v>12.99038105676658</v>
      </c>
    </row>
    <row r="287" spans="1:9" x14ac:dyDescent="0.3">
      <c r="A287" s="3" t="s">
        <v>410</v>
      </c>
      <c r="B287">
        <v>2002</v>
      </c>
      <c r="C287">
        <v>3</v>
      </c>
      <c r="D287">
        <v>5</v>
      </c>
      <c r="E287">
        <v>90</v>
      </c>
      <c r="F287">
        <v>657</v>
      </c>
      <c r="G287">
        <v>201</v>
      </c>
      <c r="H287" s="3" t="s">
        <v>40</v>
      </c>
      <c r="I287" s="4">
        <f>igre_en[Play Time]/SQRT(igre_en[Max Players]*igre_en[Min Players])</f>
        <v>23.2379000772445</v>
      </c>
    </row>
    <row r="288" spans="1:9" x14ac:dyDescent="0.3">
      <c r="A288" s="3" t="s">
        <v>426</v>
      </c>
      <c r="B288">
        <v>1903</v>
      </c>
      <c r="C288">
        <v>3</v>
      </c>
      <c r="D288">
        <v>8</v>
      </c>
      <c r="E288">
        <v>90</v>
      </c>
      <c r="F288">
        <v>639</v>
      </c>
      <c r="G288">
        <v>116</v>
      </c>
      <c r="H288" s="3" t="s">
        <v>40</v>
      </c>
      <c r="I288" s="4">
        <f>igre_en[Play Time]/SQRT(igre_en[Max Players]*igre_en[Min Players])</f>
        <v>18.371173070873837</v>
      </c>
    </row>
    <row r="289" spans="1:9" x14ac:dyDescent="0.3">
      <c r="A289" s="3" t="s">
        <v>263</v>
      </c>
      <c r="B289">
        <v>1995</v>
      </c>
      <c r="C289">
        <v>2</v>
      </c>
      <c r="D289">
        <v>8</v>
      </c>
      <c r="E289">
        <v>30</v>
      </c>
      <c r="F289">
        <v>725</v>
      </c>
      <c r="G289">
        <v>113</v>
      </c>
      <c r="H289" s="3" t="s">
        <v>40</v>
      </c>
      <c r="I289" s="4">
        <f>igre_en[Play Time]/SQRT(igre_en[Max Players]*igre_en[Min Players])</f>
        <v>7.5</v>
      </c>
    </row>
    <row r="290" spans="1:9" x14ac:dyDescent="0.3">
      <c r="A290" s="3" t="s">
        <v>230</v>
      </c>
      <c r="B290">
        <v>2019</v>
      </c>
      <c r="C290">
        <v>2</v>
      </c>
      <c r="D290">
        <v>6</v>
      </c>
      <c r="E290">
        <v>30</v>
      </c>
      <c r="F290">
        <v>733</v>
      </c>
      <c r="G290">
        <v>115</v>
      </c>
      <c r="H290" s="3" t="s">
        <v>40</v>
      </c>
      <c r="I290" s="4">
        <f>igre_en[Play Time]/SQRT(igre_en[Max Players]*igre_en[Min Players])</f>
        <v>8.6602540378443873</v>
      </c>
    </row>
    <row r="291" spans="1:9" x14ac:dyDescent="0.3">
      <c r="A291" s="3" t="s">
        <v>296</v>
      </c>
      <c r="B291">
        <v>2014</v>
      </c>
      <c r="C291">
        <v>2</v>
      </c>
      <c r="D291">
        <v>5</v>
      </c>
      <c r="E291">
        <v>50</v>
      </c>
      <c r="F291">
        <v>714</v>
      </c>
      <c r="G291">
        <v>163</v>
      </c>
      <c r="H291" s="3" t="s">
        <v>40</v>
      </c>
      <c r="I291" s="4">
        <f>igre_en[Play Time]/SQRT(igre_en[Max Players]*igre_en[Min Players])</f>
        <v>15.811388300841896</v>
      </c>
    </row>
    <row r="292" spans="1:9" x14ac:dyDescent="0.3">
      <c r="A292" s="3" t="s">
        <v>291</v>
      </c>
      <c r="B292">
        <v>2015</v>
      </c>
      <c r="C292">
        <v>2</v>
      </c>
      <c r="D292">
        <v>4</v>
      </c>
      <c r="E292">
        <v>45</v>
      </c>
      <c r="F292">
        <v>715</v>
      </c>
      <c r="G292">
        <v>175</v>
      </c>
      <c r="H292" s="3" t="s">
        <v>40</v>
      </c>
      <c r="I292" s="4">
        <f>igre_en[Play Time]/SQRT(igre_en[Max Players]*igre_en[Min Players])</f>
        <v>15.909902576697318</v>
      </c>
    </row>
    <row r="293" spans="1:9" x14ac:dyDescent="0.3">
      <c r="A293" s="3" t="s">
        <v>77</v>
      </c>
      <c r="B293">
        <v>2004</v>
      </c>
      <c r="C293">
        <v>2</v>
      </c>
      <c r="D293">
        <v>6</v>
      </c>
      <c r="E293">
        <v>120</v>
      </c>
      <c r="F293">
        <v>786</v>
      </c>
      <c r="G293">
        <v>327</v>
      </c>
      <c r="H293" s="3" t="s">
        <v>9</v>
      </c>
      <c r="I293" s="4">
        <f>igre_en[Play Time]/SQRT(igre_en[Max Players]*igre_en[Min Players])</f>
        <v>34.641016151377549</v>
      </c>
    </row>
    <row r="294" spans="1:9" x14ac:dyDescent="0.3">
      <c r="A294" s="3" t="s">
        <v>60</v>
      </c>
      <c r="B294">
        <v>2002</v>
      </c>
      <c r="C294">
        <v>3</v>
      </c>
      <c r="D294">
        <v>5</v>
      </c>
      <c r="E294">
        <v>150</v>
      </c>
      <c r="F294">
        <v>799</v>
      </c>
      <c r="G294">
        <v>328</v>
      </c>
      <c r="H294" s="3" t="s">
        <v>9</v>
      </c>
      <c r="I294" s="4">
        <f>igre_en[Play Time]/SQRT(igre_en[Max Players]*igre_en[Min Players])</f>
        <v>38.729833462074168</v>
      </c>
    </row>
    <row r="295" spans="1:9" x14ac:dyDescent="0.3">
      <c r="A295" s="3" t="s">
        <v>247</v>
      </c>
      <c r="B295">
        <v>2016</v>
      </c>
      <c r="C295">
        <v>2</v>
      </c>
      <c r="D295">
        <v>4</v>
      </c>
      <c r="E295">
        <v>60</v>
      </c>
      <c r="F295">
        <v>729</v>
      </c>
      <c r="G295">
        <v>221</v>
      </c>
      <c r="H295" s="3" t="s">
        <v>40</v>
      </c>
      <c r="I295" s="4">
        <f>igre_en[Play Time]/SQRT(igre_en[Max Players]*igre_en[Min Players])</f>
        <v>21.213203435596423</v>
      </c>
    </row>
    <row r="296" spans="1:9" x14ac:dyDescent="0.3">
      <c r="A296" s="3" t="s">
        <v>388</v>
      </c>
      <c r="B296">
        <v>2011</v>
      </c>
      <c r="C296">
        <v>2</v>
      </c>
      <c r="D296">
        <v>4</v>
      </c>
      <c r="E296">
        <v>30</v>
      </c>
      <c r="F296">
        <v>676</v>
      </c>
      <c r="G296">
        <v>197</v>
      </c>
      <c r="H296" s="3" t="s">
        <v>9</v>
      </c>
      <c r="I296" s="4">
        <f>igre_en[Play Time]/SQRT(igre_en[Max Players]*igre_en[Min Players])</f>
        <v>10.606601717798211</v>
      </c>
    </row>
    <row r="297" spans="1:9" x14ac:dyDescent="0.3">
      <c r="A297" s="3" t="s">
        <v>257</v>
      </c>
      <c r="B297">
        <v>2017</v>
      </c>
      <c r="C297">
        <v>2</v>
      </c>
      <c r="D297">
        <v>4</v>
      </c>
      <c r="E297">
        <v>25</v>
      </c>
      <c r="F297">
        <v>726</v>
      </c>
      <c r="G297">
        <v>209</v>
      </c>
      <c r="H297" s="3" t="s">
        <v>40</v>
      </c>
      <c r="I297" s="4">
        <f>igre_en[Play Time]/SQRT(igre_en[Max Players]*igre_en[Min Players])</f>
        <v>8.8388347648318426</v>
      </c>
    </row>
    <row r="298" spans="1:9" x14ac:dyDescent="0.3">
      <c r="A298" s="3" t="s">
        <v>387</v>
      </c>
      <c r="B298">
        <v>2006</v>
      </c>
      <c r="C298">
        <v>2</v>
      </c>
      <c r="D298">
        <v>4</v>
      </c>
      <c r="E298">
        <v>45</v>
      </c>
      <c r="F298">
        <v>678</v>
      </c>
      <c r="G298">
        <v>163</v>
      </c>
      <c r="H298" s="3" t="s">
        <v>84</v>
      </c>
      <c r="I298" s="4">
        <f>igre_en[Play Time]/SQRT(igre_en[Max Players]*igre_en[Min Players])</f>
        <v>15.909902576697318</v>
      </c>
    </row>
    <row r="299" spans="1:9" x14ac:dyDescent="0.3">
      <c r="A299" s="3" t="s">
        <v>376</v>
      </c>
      <c r="B299">
        <v>2012</v>
      </c>
      <c r="C299">
        <v>2</v>
      </c>
      <c r="D299">
        <v>5</v>
      </c>
      <c r="E299">
        <v>15</v>
      </c>
      <c r="F299">
        <v>688</v>
      </c>
      <c r="G299">
        <v>112</v>
      </c>
      <c r="H299" s="3" t="s">
        <v>40</v>
      </c>
      <c r="I299" s="4">
        <f>igre_en[Play Time]/SQRT(igre_en[Max Players]*igre_en[Min Players])</f>
        <v>4.7434164902525691</v>
      </c>
    </row>
    <row r="300" spans="1:9" x14ac:dyDescent="0.3">
      <c r="A300" s="3" t="s">
        <v>185</v>
      </c>
      <c r="B300">
        <v>1999</v>
      </c>
      <c r="C300">
        <v>2</v>
      </c>
      <c r="D300">
        <v>5</v>
      </c>
      <c r="E300">
        <v>60</v>
      </c>
      <c r="F300">
        <v>747</v>
      </c>
      <c r="G300">
        <v>235</v>
      </c>
      <c r="H300" s="3" t="s">
        <v>9</v>
      </c>
      <c r="I300" s="4">
        <f>igre_en[Play Time]/SQRT(igre_en[Max Players]*igre_en[Min Players])</f>
        <v>18.973665961010276</v>
      </c>
    </row>
    <row r="301" spans="1:9" x14ac:dyDescent="0.3">
      <c r="A301" s="3" t="s">
        <v>103</v>
      </c>
      <c r="B301">
        <v>2007</v>
      </c>
      <c r="C301">
        <v>2</v>
      </c>
      <c r="D301">
        <v>4</v>
      </c>
      <c r="E301">
        <v>60</v>
      </c>
      <c r="F301">
        <v>776</v>
      </c>
      <c r="G301">
        <v>298</v>
      </c>
      <c r="H301" s="3" t="s">
        <v>9</v>
      </c>
      <c r="I301" s="4">
        <f>igre_en[Play Time]/SQRT(igre_en[Max Players]*igre_en[Min Players])</f>
        <v>21.213203435596423</v>
      </c>
    </row>
    <row r="302" spans="1:9" x14ac:dyDescent="0.3">
      <c r="A302" s="3" t="s">
        <v>93</v>
      </c>
      <c r="B302">
        <v>2015</v>
      </c>
      <c r="C302">
        <v>2</v>
      </c>
      <c r="D302">
        <v>4</v>
      </c>
      <c r="E302">
        <v>80</v>
      </c>
      <c r="F302">
        <v>779</v>
      </c>
      <c r="G302">
        <v>253</v>
      </c>
      <c r="H302" s="3" t="s">
        <v>9</v>
      </c>
      <c r="I302" s="4">
        <f>igre_en[Play Time]/SQRT(igre_en[Max Players]*igre_en[Min Players])</f>
        <v>28.284271247461898</v>
      </c>
    </row>
    <row r="303" spans="1:9" x14ac:dyDescent="0.3">
      <c r="A303" s="3" t="s">
        <v>119</v>
      </c>
      <c r="B303">
        <v>2005</v>
      </c>
      <c r="C303">
        <v>2</v>
      </c>
      <c r="D303">
        <v>6</v>
      </c>
      <c r="E303">
        <v>120</v>
      </c>
      <c r="F303">
        <v>769</v>
      </c>
      <c r="G303">
        <v>302</v>
      </c>
      <c r="H303" s="3" t="s">
        <v>9</v>
      </c>
      <c r="I303" s="4">
        <f>igre_en[Play Time]/SQRT(igre_en[Max Players]*igre_en[Min Players])</f>
        <v>34.641016151377549</v>
      </c>
    </row>
    <row r="304" spans="1:9" x14ac:dyDescent="0.3">
      <c r="A304" s="3" t="s">
        <v>117</v>
      </c>
      <c r="B304">
        <v>2017</v>
      </c>
      <c r="C304">
        <v>2</v>
      </c>
      <c r="D304">
        <v>4</v>
      </c>
      <c r="E304">
        <v>75</v>
      </c>
      <c r="F304">
        <v>770</v>
      </c>
      <c r="G304">
        <v>286</v>
      </c>
      <c r="H304" s="3" t="s">
        <v>9</v>
      </c>
      <c r="I304" s="4">
        <f>igre_en[Play Time]/SQRT(igre_en[Max Players]*igre_en[Min Players])</f>
        <v>26.51650429449553</v>
      </c>
    </row>
    <row r="305" spans="1:9" x14ac:dyDescent="0.3">
      <c r="A305" s="3" t="s">
        <v>232</v>
      </c>
      <c r="B305">
        <v>2015</v>
      </c>
      <c r="C305">
        <v>2</v>
      </c>
      <c r="D305">
        <v>2</v>
      </c>
      <c r="E305">
        <v>30</v>
      </c>
      <c r="F305">
        <v>733</v>
      </c>
      <c r="G305">
        <v>206</v>
      </c>
      <c r="H305" s="3" t="s">
        <v>40</v>
      </c>
      <c r="I305" s="4">
        <f>igre_en[Play Time]/SQRT(igre_en[Max Players]*igre_en[Min Players])</f>
        <v>15</v>
      </c>
    </row>
    <row r="306" spans="1:9" x14ac:dyDescent="0.3">
      <c r="A306" s="3" t="s">
        <v>432</v>
      </c>
      <c r="B306">
        <v>2008</v>
      </c>
      <c r="C306">
        <v>1</v>
      </c>
      <c r="D306">
        <v>8</v>
      </c>
      <c r="E306">
        <v>120</v>
      </c>
      <c r="F306">
        <v>630</v>
      </c>
      <c r="G306">
        <v>207</v>
      </c>
      <c r="H306" s="3" t="s">
        <v>9</v>
      </c>
      <c r="I306" s="4">
        <f>igre_en[Play Time]/SQRT(igre_en[Max Players]*igre_en[Min Players])</f>
        <v>42.426406871192846</v>
      </c>
    </row>
    <row r="307" spans="1:9" x14ac:dyDescent="0.3">
      <c r="A307" s="3" t="s">
        <v>367</v>
      </c>
      <c r="B307">
        <v>2014</v>
      </c>
      <c r="C307">
        <v>2</v>
      </c>
      <c r="D307">
        <v>4</v>
      </c>
      <c r="E307">
        <v>30</v>
      </c>
      <c r="F307">
        <v>692</v>
      </c>
      <c r="G307">
        <v>170</v>
      </c>
      <c r="H307" s="3" t="s">
        <v>40</v>
      </c>
      <c r="I307" s="4">
        <f>igre_en[Play Time]/SQRT(igre_en[Max Players]*igre_en[Min Players])</f>
        <v>10.606601717798211</v>
      </c>
    </row>
    <row r="308" spans="1:9" x14ac:dyDescent="0.3">
      <c r="A308" s="3" t="s">
        <v>90</v>
      </c>
      <c r="B308">
        <v>2019</v>
      </c>
      <c r="C308">
        <v>2</v>
      </c>
      <c r="D308">
        <v>4</v>
      </c>
      <c r="E308">
        <v>60</v>
      </c>
      <c r="F308">
        <v>780</v>
      </c>
      <c r="G308">
        <v>259</v>
      </c>
      <c r="H308" s="3" t="s">
        <v>9</v>
      </c>
      <c r="I308" s="4">
        <f>igre_en[Play Time]/SQRT(igre_en[Max Players]*igre_en[Min Players])</f>
        <v>21.213203435596423</v>
      </c>
    </row>
    <row r="309" spans="1:9" x14ac:dyDescent="0.3">
      <c r="A309" s="3" t="s">
        <v>359</v>
      </c>
      <c r="B309">
        <v>2011</v>
      </c>
      <c r="C309">
        <v>2</v>
      </c>
      <c r="D309">
        <v>5</v>
      </c>
      <c r="E309">
        <v>15</v>
      </c>
      <c r="F309">
        <v>695</v>
      </c>
      <c r="G309">
        <v>103</v>
      </c>
      <c r="H309" s="3" t="s">
        <v>360</v>
      </c>
      <c r="I309" s="4">
        <f>igre_en[Play Time]/SQRT(igre_en[Max Players]*igre_en[Min Players])</f>
        <v>4.7434164902525691</v>
      </c>
    </row>
    <row r="310" spans="1:9" x14ac:dyDescent="0.3">
      <c r="A310" s="3" t="s">
        <v>70</v>
      </c>
      <c r="B310">
        <v>2018</v>
      </c>
      <c r="C310">
        <v>3</v>
      </c>
      <c r="D310">
        <v>5</v>
      </c>
      <c r="E310">
        <v>120</v>
      </c>
      <c r="F310">
        <v>788</v>
      </c>
      <c r="G310">
        <v>328</v>
      </c>
      <c r="H310" s="3" t="s">
        <v>9</v>
      </c>
      <c r="I310" s="4">
        <f>igre_en[Play Time]/SQRT(igre_en[Max Players]*igre_en[Min Players])</f>
        <v>30.983866769659333</v>
      </c>
    </row>
    <row r="311" spans="1:9" x14ac:dyDescent="0.3">
      <c r="A311" s="3" t="s">
        <v>463</v>
      </c>
      <c r="B311">
        <v>1959</v>
      </c>
      <c r="C311">
        <v>2</v>
      </c>
      <c r="D311">
        <v>6</v>
      </c>
      <c r="E311">
        <v>120</v>
      </c>
      <c r="F311">
        <v>559</v>
      </c>
      <c r="G311">
        <v>208</v>
      </c>
      <c r="H311" s="3" t="s">
        <v>40</v>
      </c>
      <c r="I311" s="4">
        <f>igre_en[Play Time]/SQRT(igre_en[Max Players]*igre_en[Min Players])</f>
        <v>34.641016151377549</v>
      </c>
    </row>
    <row r="312" spans="1:9" x14ac:dyDescent="0.3">
      <c r="A312" s="3" t="s">
        <v>398</v>
      </c>
      <c r="B312">
        <v>2001</v>
      </c>
      <c r="C312">
        <v>2</v>
      </c>
      <c r="D312">
        <v>5</v>
      </c>
      <c r="E312">
        <v>240</v>
      </c>
      <c r="F312">
        <v>670</v>
      </c>
      <c r="G312">
        <v>272</v>
      </c>
      <c r="H312" s="3" t="s">
        <v>97</v>
      </c>
      <c r="I312" s="4">
        <f>igre_en[Play Time]/SQRT(igre_en[Max Players]*igre_en[Min Players])</f>
        <v>75.894663844041105</v>
      </c>
    </row>
    <row r="313" spans="1:9" x14ac:dyDescent="0.3">
      <c r="A313" s="3" t="s">
        <v>201</v>
      </c>
      <c r="B313">
        <v>2011</v>
      </c>
      <c r="C313">
        <v>3</v>
      </c>
      <c r="D313">
        <v>5</v>
      </c>
      <c r="E313">
        <v>60</v>
      </c>
      <c r="F313">
        <v>742</v>
      </c>
      <c r="G313">
        <v>259</v>
      </c>
      <c r="H313" s="3" t="s">
        <v>9</v>
      </c>
      <c r="I313" s="4">
        <f>igre_en[Play Time]/SQRT(igre_en[Max Players]*igre_en[Min Players])</f>
        <v>15.491933384829666</v>
      </c>
    </row>
    <row r="314" spans="1:9" x14ac:dyDescent="0.3">
      <c r="A314" s="3" t="s">
        <v>350</v>
      </c>
      <c r="B314">
        <v>2010</v>
      </c>
      <c r="C314">
        <v>2</v>
      </c>
      <c r="D314">
        <v>2</v>
      </c>
      <c r="E314">
        <v>120</v>
      </c>
      <c r="F314">
        <v>698</v>
      </c>
      <c r="G314">
        <v>233</v>
      </c>
      <c r="H314" s="3" t="s">
        <v>9</v>
      </c>
      <c r="I314" s="4">
        <f>igre_en[Play Time]/SQRT(igre_en[Max Players]*igre_en[Min Players])</f>
        <v>60</v>
      </c>
    </row>
    <row r="315" spans="1:9" x14ac:dyDescent="0.3">
      <c r="A315" s="3" t="s">
        <v>314</v>
      </c>
      <c r="B315">
        <v>1994</v>
      </c>
      <c r="C315">
        <v>2</v>
      </c>
      <c r="D315">
        <v>8</v>
      </c>
      <c r="E315">
        <v>120</v>
      </c>
      <c r="F315">
        <v>708</v>
      </c>
      <c r="G315">
        <v>243</v>
      </c>
      <c r="H315" s="3" t="s">
        <v>9</v>
      </c>
      <c r="I315" s="4">
        <f>igre_en[Play Time]/SQRT(igre_en[Max Players]*igre_en[Min Players])</f>
        <v>30</v>
      </c>
    </row>
    <row r="316" spans="1:9" x14ac:dyDescent="0.3">
      <c r="A316" s="3" t="s">
        <v>123</v>
      </c>
      <c r="B316">
        <v>2014</v>
      </c>
      <c r="C316">
        <v>2</v>
      </c>
      <c r="D316">
        <v>5</v>
      </c>
      <c r="E316">
        <v>45</v>
      </c>
      <c r="F316">
        <v>767</v>
      </c>
      <c r="G316">
        <v>277</v>
      </c>
      <c r="H316" s="3" t="s">
        <v>9</v>
      </c>
      <c r="I316" s="4">
        <f>igre_en[Play Time]/SQRT(igre_en[Max Players]*igre_en[Min Players])</f>
        <v>14.230249470757705</v>
      </c>
    </row>
    <row r="317" spans="1:9" x14ac:dyDescent="0.3">
      <c r="A317" s="3" t="s">
        <v>168</v>
      </c>
      <c r="B317">
        <v>2016</v>
      </c>
      <c r="C317">
        <v>1</v>
      </c>
      <c r="D317">
        <v>4</v>
      </c>
      <c r="E317">
        <v>90</v>
      </c>
      <c r="F317">
        <v>753</v>
      </c>
      <c r="G317">
        <v>238</v>
      </c>
      <c r="H317" s="3" t="s">
        <v>9</v>
      </c>
      <c r="I317" s="4">
        <f>igre_en[Play Time]/SQRT(igre_en[Max Players]*igre_en[Min Players])</f>
        <v>45</v>
      </c>
    </row>
    <row r="318" spans="1:9" x14ac:dyDescent="0.3">
      <c r="A318" s="3" t="s">
        <v>44</v>
      </c>
      <c r="B318">
        <v>2018</v>
      </c>
      <c r="C318">
        <v>2</v>
      </c>
      <c r="D318">
        <v>4</v>
      </c>
      <c r="E318">
        <v>90</v>
      </c>
      <c r="F318">
        <v>810</v>
      </c>
      <c r="G318">
        <v>367</v>
      </c>
      <c r="H318" s="3" t="s">
        <v>9</v>
      </c>
      <c r="I318" s="4">
        <f>igre_en[Play Time]/SQRT(igre_en[Max Players]*igre_en[Min Players])</f>
        <v>31.819805153394636</v>
      </c>
    </row>
    <row r="319" spans="1:9" x14ac:dyDescent="0.3">
      <c r="A319" s="3" t="s">
        <v>427</v>
      </c>
      <c r="B319">
        <v>1977</v>
      </c>
      <c r="C319">
        <v>2</v>
      </c>
      <c r="D319">
        <v>4</v>
      </c>
      <c r="E319">
        <v>60</v>
      </c>
      <c r="F319">
        <v>638</v>
      </c>
      <c r="G319">
        <v>175</v>
      </c>
      <c r="H319" s="3" t="s">
        <v>40</v>
      </c>
      <c r="I319" s="4">
        <f>igre_en[Play Time]/SQRT(igre_en[Max Players]*igre_en[Min Players])</f>
        <v>21.213203435596423</v>
      </c>
    </row>
    <row r="320" spans="1:9" x14ac:dyDescent="0.3">
      <c r="A320" s="3" t="s">
        <v>373</v>
      </c>
      <c r="B320">
        <v>2005</v>
      </c>
      <c r="C320">
        <v>2</v>
      </c>
      <c r="D320">
        <v>6</v>
      </c>
      <c r="E320">
        <v>240</v>
      </c>
      <c r="F320">
        <v>688</v>
      </c>
      <c r="G320">
        <v>268</v>
      </c>
      <c r="H320" s="3" t="s">
        <v>12</v>
      </c>
      <c r="I320" s="4">
        <f>igre_en[Play Time]/SQRT(igre_en[Max Players]*igre_en[Min Players])</f>
        <v>69.282032302755098</v>
      </c>
    </row>
    <row r="321" spans="1:9" x14ac:dyDescent="0.3">
      <c r="A321" s="3" t="s">
        <v>136</v>
      </c>
      <c r="B321">
        <v>2010</v>
      </c>
      <c r="C321">
        <v>2</v>
      </c>
      <c r="D321">
        <v>4</v>
      </c>
      <c r="E321">
        <v>240</v>
      </c>
      <c r="F321">
        <v>763</v>
      </c>
      <c r="G321">
        <v>378</v>
      </c>
      <c r="H321" s="3" t="s">
        <v>9</v>
      </c>
      <c r="I321" s="4">
        <f>igre_en[Play Time]/SQRT(igre_en[Max Players]*igre_en[Min Players])</f>
        <v>84.852813742385692</v>
      </c>
    </row>
    <row r="322" spans="1:9" x14ac:dyDescent="0.3">
      <c r="A322" s="3" t="s">
        <v>100</v>
      </c>
      <c r="B322">
        <v>2013</v>
      </c>
      <c r="C322">
        <v>2</v>
      </c>
      <c r="D322">
        <v>4</v>
      </c>
      <c r="E322">
        <v>120</v>
      </c>
      <c r="F322">
        <v>777</v>
      </c>
      <c r="G322">
        <v>341</v>
      </c>
      <c r="H322" s="3" t="s">
        <v>9</v>
      </c>
      <c r="I322" s="4">
        <f>igre_en[Play Time]/SQRT(igre_en[Max Players]*igre_en[Min Players])</f>
        <v>42.426406871192846</v>
      </c>
    </row>
    <row r="323" spans="1:9" x14ac:dyDescent="0.3">
      <c r="A323" s="3" t="s">
        <v>409</v>
      </c>
      <c r="B323">
        <v>2004</v>
      </c>
      <c r="C323">
        <v>3</v>
      </c>
      <c r="D323">
        <v>10</v>
      </c>
      <c r="E323">
        <v>30</v>
      </c>
      <c r="F323">
        <v>658</v>
      </c>
      <c r="G323">
        <v>133</v>
      </c>
      <c r="H323" s="3" t="s">
        <v>40</v>
      </c>
      <c r="I323" s="4">
        <f>igre_en[Play Time]/SQRT(igre_en[Max Players]*igre_en[Min Players])</f>
        <v>5.4772255750516612</v>
      </c>
    </row>
    <row r="324" spans="1:9" x14ac:dyDescent="0.3">
      <c r="A324" s="3" t="s">
        <v>169</v>
      </c>
      <c r="B324">
        <v>2017</v>
      </c>
      <c r="C324">
        <v>1</v>
      </c>
      <c r="D324">
        <v>4</v>
      </c>
      <c r="E324">
        <v>45</v>
      </c>
      <c r="F324">
        <v>753</v>
      </c>
      <c r="G324">
        <v>193</v>
      </c>
      <c r="H324" s="3" t="s">
        <v>84</v>
      </c>
      <c r="I324" s="4">
        <f>igre_en[Play Time]/SQRT(igre_en[Max Players]*igre_en[Min Players])</f>
        <v>22.5</v>
      </c>
    </row>
    <row r="325" spans="1:9" x14ac:dyDescent="0.3">
      <c r="A325" s="3" t="s">
        <v>242</v>
      </c>
      <c r="B325">
        <v>2004</v>
      </c>
      <c r="C325">
        <v>2</v>
      </c>
      <c r="D325">
        <v>4</v>
      </c>
      <c r="E325">
        <v>60</v>
      </c>
      <c r="F325">
        <v>730</v>
      </c>
      <c r="G325">
        <v>247</v>
      </c>
      <c r="H325" s="3" t="s">
        <v>9</v>
      </c>
      <c r="I325" s="4">
        <f>igre_en[Play Time]/SQRT(igre_en[Max Players]*igre_en[Min Players])</f>
        <v>21.213203435596423</v>
      </c>
    </row>
    <row r="326" spans="1:9" x14ac:dyDescent="0.3">
      <c r="A326" s="3" t="s">
        <v>192</v>
      </c>
      <c r="B326">
        <v>1998</v>
      </c>
      <c r="C326">
        <v>2</v>
      </c>
      <c r="D326">
        <v>4</v>
      </c>
      <c r="E326">
        <v>60</v>
      </c>
      <c r="F326">
        <v>745</v>
      </c>
      <c r="G326">
        <v>249</v>
      </c>
      <c r="H326" s="3" t="s">
        <v>9</v>
      </c>
      <c r="I326" s="4">
        <f>igre_en[Play Time]/SQRT(igre_en[Max Players]*igre_en[Min Players])</f>
        <v>21.213203435596423</v>
      </c>
    </row>
    <row r="327" spans="1:9" x14ac:dyDescent="0.3">
      <c r="A327" s="3" t="s">
        <v>264</v>
      </c>
      <c r="B327">
        <v>2004</v>
      </c>
      <c r="C327">
        <v>2</v>
      </c>
      <c r="D327">
        <v>4</v>
      </c>
      <c r="E327">
        <v>60</v>
      </c>
      <c r="F327">
        <v>725</v>
      </c>
      <c r="G327">
        <v>229</v>
      </c>
      <c r="H327" s="3" t="s">
        <v>9</v>
      </c>
      <c r="I327" s="4">
        <f>igre_en[Play Time]/SQRT(igre_en[Max Players]*igre_en[Min Players])</f>
        <v>21.213203435596423</v>
      </c>
    </row>
    <row r="328" spans="1:9" x14ac:dyDescent="0.3">
      <c r="A328" s="3" t="s">
        <v>182</v>
      </c>
      <c r="B328">
        <v>2016</v>
      </c>
      <c r="C328">
        <v>2</v>
      </c>
      <c r="D328">
        <v>4</v>
      </c>
      <c r="E328">
        <v>20</v>
      </c>
      <c r="F328">
        <v>748</v>
      </c>
      <c r="G328">
        <v>173</v>
      </c>
      <c r="H328" s="3" t="s">
        <v>84</v>
      </c>
      <c r="I328" s="4">
        <f>igre_en[Play Time]/SQRT(igre_en[Max Players]*igre_en[Min Players])</f>
        <v>7.0710678118654746</v>
      </c>
    </row>
    <row r="329" spans="1:9" x14ac:dyDescent="0.3">
      <c r="A329" s="3" t="s">
        <v>441</v>
      </c>
      <c r="B329">
        <v>1988</v>
      </c>
      <c r="C329">
        <v>2</v>
      </c>
      <c r="D329">
        <v>6</v>
      </c>
      <c r="E329">
        <v>30</v>
      </c>
      <c r="F329">
        <v>620</v>
      </c>
      <c r="G329">
        <v>138</v>
      </c>
      <c r="H329" s="3" t="s">
        <v>95</v>
      </c>
      <c r="I329" s="4">
        <f>igre_en[Play Time]/SQRT(igre_en[Max Players]*igre_en[Min Players])</f>
        <v>8.6602540378443873</v>
      </c>
    </row>
    <row r="330" spans="1:9" x14ac:dyDescent="0.3">
      <c r="A330" s="3" t="s">
        <v>237</v>
      </c>
      <c r="B330">
        <v>1999</v>
      </c>
      <c r="C330">
        <v>2</v>
      </c>
      <c r="D330">
        <v>2</v>
      </c>
      <c r="E330">
        <v>20</v>
      </c>
      <c r="F330">
        <v>731</v>
      </c>
      <c r="G330">
        <v>174</v>
      </c>
      <c r="H330" s="3" t="s">
        <v>40</v>
      </c>
      <c r="I330" s="4">
        <f>igre_en[Play Time]/SQRT(igre_en[Max Players]*igre_en[Min Players])</f>
        <v>10</v>
      </c>
    </row>
    <row r="331" spans="1:9" x14ac:dyDescent="0.3">
      <c r="A331" s="3" t="s">
        <v>419</v>
      </c>
      <c r="B331">
        <v>1983</v>
      </c>
      <c r="C331">
        <v>3</v>
      </c>
      <c r="D331">
        <v>6</v>
      </c>
      <c r="E331">
        <v>45</v>
      </c>
      <c r="F331">
        <v>651</v>
      </c>
      <c r="G331">
        <v>196</v>
      </c>
      <c r="H331" s="3" t="s">
        <v>40</v>
      </c>
      <c r="I331" s="4">
        <f>igre_en[Play Time]/SQRT(igre_en[Max Players]*igre_en[Min Players])</f>
        <v>10.606601717798213</v>
      </c>
    </row>
    <row r="332" spans="1:9" x14ac:dyDescent="0.3">
      <c r="A332" s="3" t="s">
        <v>436</v>
      </c>
      <c r="B332">
        <v>1948</v>
      </c>
      <c r="C332">
        <v>2</v>
      </c>
      <c r="D332">
        <v>4</v>
      </c>
      <c r="E332">
        <v>90</v>
      </c>
      <c r="F332">
        <v>628</v>
      </c>
      <c r="G332">
        <v>209</v>
      </c>
      <c r="H332" s="3" t="s">
        <v>40</v>
      </c>
      <c r="I332" s="4">
        <f>igre_en[Play Time]/SQRT(igre_en[Max Players]*igre_en[Min Players])</f>
        <v>31.819805153394636</v>
      </c>
    </row>
    <row r="333" spans="1:9" x14ac:dyDescent="0.3">
      <c r="A333" s="3" t="s">
        <v>24</v>
      </c>
      <c r="B333">
        <v>2016</v>
      </c>
      <c r="C333">
        <v>1</v>
      </c>
      <c r="D333">
        <v>5</v>
      </c>
      <c r="E333">
        <v>115</v>
      </c>
      <c r="F333">
        <v>824</v>
      </c>
      <c r="G333">
        <v>341</v>
      </c>
      <c r="H333" s="3" t="s">
        <v>9</v>
      </c>
      <c r="I333" s="4">
        <f>igre_en[Play Time]/SQRT(igre_en[Max Players]*igre_en[Min Players])</f>
        <v>51.429563482495162</v>
      </c>
    </row>
    <row r="334" spans="1:9" x14ac:dyDescent="0.3">
      <c r="A334" s="3" t="s">
        <v>207</v>
      </c>
      <c r="B334">
        <v>2012</v>
      </c>
      <c r="C334">
        <v>2</v>
      </c>
      <c r="D334">
        <v>4</v>
      </c>
      <c r="E334">
        <v>60</v>
      </c>
      <c r="F334">
        <v>741</v>
      </c>
      <c r="G334">
        <v>277</v>
      </c>
      <c r="H334" s="3" t="s">
        <v>9</v>
      </c>
      <c r="I334" s="4">
        <f>igre_en[Play Time]/SQRT(igre_en[Max Players]*igre_en[Min Players])</f>
        <v>21.213203435596423</v>
      </c>
    </row>
    <row r="335" spans="1:9" x14ac:dyDescent="0.3">
      <c r="A335" s="3" t="s">
        <v>155</v>
      </c>
      <c r="B335">
        <v>2016</v>
      </c>
      <c r="C335">
        <v>5</v>
      </c>
      <c r="D335">
        <v>10</v>
      </c>
      <c r="E335">
        <v>45</v>
      </c>
      <c r="F335">
        <v>757</v>
      </c>
      <c r="G335">
        <v>169</v>
      </c>
      <c r="H335" s="3" t="s">
        <v>95</v>
      </c>
      <c r="I335" s="4">
        <f>igre_en[Play Time]/SQRT(igre_en[Max Players]*igre_en[Min Players])</f>
        <v>6.3639610306789276</v>
      </c>
    </row>
    <row r="336" spans="1:9" x14ac:dyDescent="0.3">
      <c r="A336" s="3" t="s">
        <v>268</v>
      </c>
      <c r="B336">
        <v>2011</v>
      </c>
      <c r="C336">
        <v>2</v>
      </c>
      <c r="D336">
        <v>5</v>
      </c>
      <c r="E336">
        <v>60</v>
      </c>
      <c r="F336">
        <v>722</v>
      </c>
      <c r="G336">
        <v>250</v>
      </c>
      <c r="H336" s="3" t="s">
        <v>12</v>
      </c>
      <c r="I336" s="4">
        <f>igre_en[Play Time]/SQRT(igre_en[Max Players]*igre_en[Min Players])</f>
        <v>18.973665961010276</v>
      </c>
    </row>
    <row r="337" spans="1:9" x14ac:dyDescent="0.3">
      <c r="A337" s="3" t="s">
        <v>449</v>
      </c>
      <c r="B337">
        <v>1982</v>
      </c>
      <c r="C337">
        <v>2</v>
      </c>
      <c r="D337">
        <v>12</v>
      </c>
      <c r="E337">
        <v>30</v>
      </c>
      <c r="F337">
        <v>602</v>
      </c>
      <c r="G337">
        <v>134</v>
      </c>
      <c r="H337" s="3" t="s">
        <v>40</v>
      </c>
      <c r="I337" s="4">
        <f>igre_en[Play Time]/SQRT(igre_en[Max Players]*igre_en[Min Players])</f>
        <v>6.123724356957946</v>
      </c>
    </row>
    <row r="338" spans="1:9" x14ac:dyDescent="0.3">
      <c r="A338" s="3" t="s">
        <v>422</v>
      </c>
      <c r="B338">
        <v>1988</v>
      </c>
      <c r="C338">
        <v>1</v>
      </c>
      <c r="D338">
        <v>20</v>
      </c>
      <c r="E338">
        <v>30</v>
      </c>
      <c r="F338">
        <v>648</v>
      </c>
      <c r="G338">
        <v>168</v>
      </c>
      <c r="H338" s="3" t="s">
        <v>84</v>
      </c>
      <c r="I338" s="4">
        <f>igre_en[Play Time]/SQRT(igre_en[Max Players]*igre_en[Min Players])</f>
        <v>6.7082039324993685</v>
      </c>
    </row>
    <row r="339" spans="1:9" x14ac:dyDescent="0.3">
      <c r="A339" s="3" t="s">
        <v>304</v>
      </c>
      <c r="B339">
        <v>2005</v>
      </c>
      <c r="C339">
        <v>3</v>
      </c>
      <c r="D339">
        <v>7</v>
      </c>
      <c r="E339">
        <v>80</v>
      </c>
      <c r="F339">
        <v>712</v>
      </c>
      <c r="G339">
        <v>257</v>
      </c>
      <c r="H339" s="3" t="s">
        <v>12</v>
      </c>
      <c r="I339" s="4">
        <f>igre_en[Play Time]/SQRT(igre_en[Max Players]*igre_en[Min Players])</f>
        <v>17.457431218879393</v>
      </c>
    </row>
    <row r="340" spans="1:9" x14ac:dyDescent="0.3">
      <c r="A340" s="3" t="s">
        <v>294</v>
      </c>
      <c r="B340">
        <v>2014</v>
      </c>
      <c r="C340">
        <v>3</v>
      </c>
      <c r="D340">
        <v>5</v>
      </c>
      <c r="E340">
        <v>60</v>
      </c>
      <c r="F340">
        <v>714</v>
      </c>
      <c r="G340">
        <v>165</v>
      </c>
      <c r="H340" s="3" t="s">
        <v>40</v>
      </c>
      <c r="I340" s="4">
        <f>igre_en[Play Time]/SQRT(igre_en[Max Players]*igre_en[Min Players])</f>
        <v>15.491933384829666</v>
      </c>
    </row>
    <row r="341" spans="1:9" x14ac:dyDescent="0.3">
      <c r="A341" s="3" t="s">
        <v>166</v>
      </c>
      <c r="B341">
        <v>2006</v>
      </c>
      <c r="C341">
        <v>3</v>
      </c>
      <c r="D341">
        <v>5</v>
      </c>
      <c r="E341">
        <v>120</v>
      </c>
      <c r="F341">
        <v>754</v>
      </c>
      <c r="G341">
        <v>337</v>
      </c>
      <c r="H341" s="3" t="s">
        <v>9</v>
      </c>
      <c r="I341" s="4">
        <f>igre_en[Play Time]/SQRT(igre_en[Max Players]*igre_en[Min Players])</f>
        <v>30.983866769659333</v>
      </c>
    </row>
    <row r="342" spans="1:9" x14ac:dyDescent="0.3">
      <c r="A342" s="3" t="s">
        <v>465</v>
      </c>
      <c r="B342">
        <v>1967</v>
      </c>
      <c r="C342">
        <v>2</v>
      </c>
      <c r="D342">
        <v>6</v>
      </c>
      <c r="E342">
        <v>20</v>
      </c>
      <c r="F342">
        <v>547</v>
      </c>
      <c r="G342">
        <v>122</v>
      </c>
      <c r="H342" s="3" t="s">
        <v>40</v>
      </c>
      <c r="I342" s="4">
        <f>igre_en[Play Time]/SQRT(igre_en[Max Players]*igre_en[Min Players])</f>
        <v>5.7735026918962582</v>
      </c>
    </row>
    <row r="343" spans="1:9" x14ac:dyDescent="0.3">
      <c r="A343" s="3" t="s">
        <v>274</v>
      </c>
      <c r="B343">
        <v>2011</v>
      </c>
      <c r="C343">
        <v>3</v>
      </c>
      <c r="D343">
        <v>6</v>
      </c>
      <c r="E343">
        <v>45</v>
      </c>
      <c r="F343">
        <v>721</v>
      </c>
      <c r="G343">
        <v>114</v>
      </c>
      <c r="H343" s="3" t="s">
        <v>95</v>
      </c>
      <c r="I343" s="4">
        <f>igre_en[Play Time]/SQRT(igre_en[Max Players]*igre_en[Min Players])</f>
        <v>10.606601717798213</v>
      </c>
    </row>
    <row r="344" spans="1:9" x14ac:dyDescent="0.3">
      <c r="A344" s="3" t="s">
        <v>258</v>
      </c>
      <c r="B344">
        <v>2009</v>
      </c>
      <c r="C344">
        <v>2</v>
      </c>
      <c r="D344">
        <v>5</v>
      </c>
      <c r="E344">
        <v>80</v>
      </c>
      <c r="F344">
        <v>726</v>
      </c>
      <c r="G344">
        <v>236</v>
      </c>
      <c r="H344" s="3" t="s">
        <v>40</v>
      </c>
      <c r="I344" s="4">
        <f>igre_en[Play Time]/SQRT(igre_en[Max Players]*igre_en[Min Players])</f>
        <v>25.298221281347033</v>
      </c>
    </row>
    <row r="345" spans="1:9" x14ac:dyDescent="0.3">
      <c r="A345" s="3" t="s">
        <v>253</v>
      </c>
      <c r="B345">
        <v>2011</v>
      </c>
      <c r="C345">
        <v>2</v>
      </c>
      <c r="D345">
        <v>5</v>
      </c>
      <c r="E345">
        <v>90</v>
      </c>
      <c r="F345">
        <v>727</v>
      </c>
      <c r="G345">
        <v>259</v>
      </c>
      <c r="H345" s="3" t="s">
        <v>9</v>
      </c>
      <c r="I345" s="4">
        <f>igre_en[Play Time]/SQRT(igre_en[Max Players]*igre_en[Min Players])</f>
        <v>28.460498941515411</v>
      </c>
    </row>
    <row r="346" spans="1:9" x14ac:dyDescent="0.3">
      <c r="A346" s="3" t="s">
        <v>390</v>
      </c>
      <c r="B346">
        <v>2012</v>
      </c>
      <c r="C346">
        <v>2</v>
      </c>
      <c r="D346">
        <v>4</v>
      </c>
      <c r="E346">
        <v>45</v>
      </c>
      <c r="F346">
        <v>675</v>
      </c>
      <c r="G346">
        <v>206</v>
      </c>
      <c r="H346" s="3" t="s">
        <v>9</v>
      </c>
      <c r="I346" s="4">
        <f>igre_en[Play Time]/SQRT(igre_en[Max Players]*igre_en[Min Players])</f>
        <v>15.909902576697318</v>
      </c>
    </row>
    <row r="347" spans="1:9" x14ac:dyDescent="0.3">
      <c r="A347" s="3" t="s">
        <v>260</v>
      </c>
      <c r="B347">
        <v>2013</v>
      </c>
      <c r="C347">
        <v>2</v>
      </c>
      <c r="D347">
        <v>2</v>
      </c>
      <c r="E347">
        <v>45</v>
      </c>
      <c r="F347">
        <v>725</v>
      </c>
      <c r="G347">
        <v>213</v>
      </c>
      <c r="H347" s="3" t="s">
        <v>40</v>
      </c>
      <c r="I347" s="4">
        <f>igre_en[Play Time]/SQRT(igre_en[Max Players]*igre_en[Min Players])</f>
        <v>22.5</v>
      </c>
    </row>
    <row r="348" spans="1:9" x14ac:dyDescent="0.3">
      <c r="A348" s="3" t="s">
        <v>194</v>
      </c>
      <c r="B348">
        <v>2008</v>
      </c>
      <c r="C348">
        <v>1</v>
      </c>
      <c r="D348">
        <v>5</v>
      </c>
      <c r="E348">
        <v>30</v>
      </c>
      <c r="F348">
        <v>744</v>
      </c>
      <c r="G348">
        <v>296</v>
      </c>
      <c r="H348" s="3" t="s">
        <v>12</v>
      </c>
      <c r="I348" s="4">
        <f>igre_en[Play Time]/SQRT(igre_en[Max Players]*igre_en[Min Players])</f>
        <v>13.416407864998737</v>
      </c>
    </row>
    <row r="349" spans="1:9" x14ac:dyDescent="0.3">
      <c r="A349" s="3" t="s">
        <v>145</v>
      </c>
      <c r="B349">
        <v>2018</v>
      </c>
      <c r="C349">
        <v>2</v>
      </c>
      <c r="D349">
        <v>5</v>
      </c>
      <c r="E349">
        <v>60</v>
      </c>
      <c r="F349">
        <v>759</v>
      </c>
      <c r="G349">
        <v>213</v>
      </c>
      <c r="H349" s="3" t="s">
        <v>40</v>
      </c>
      <c r="I349" s="4">
        <f>igre_en[Play Time]/SQRT(igre_en[Max Players]*igre_en[Min Players])</f>
        <v>18.973665961010276</v>
      </c>
    </row>
    <row r="350" spans="1:9" x14ac:dyDescent="0.3">
      <c r="A350" s="3" t="s">
        <v>19</v>
      </c>
      <c r="B350">
        <v>2017</v>
      </c>
      <c r="C350">
        <v>1</v>
      </c>
      <c r="D350">
        <v>4</v>
      </c>
      <c r="E350">
        <v>120</v>
      </c>
      <c r="F350">
        <v>835</v>
      </c>
      <c r="G350">
        <v>401</v>
      </c>
      <c r="H350" s="3" t="s">
        <v>9</v>
      </c>
      <c r="I350" s="4">
        <f>igre_en[Play Time]/SQRT(igre_en[Max Players]*igre_en[Min Players])</f>
        <v>60</v>
      </c>
    </row>
    <row r="351" spans="1:9" x14ac:dyDescent="0.3">
      <c r="A351" s="3" t="s">
        <v>191</v>
      </c>
      <c r="B351">
        <v>2014</v>
      </c>
      <c r="C351">
        <v>2</v>
      </c>
      <c r="D351">
        <v>4</v>
      </c>
      <c r="E351">
        <v>30</v>
      </c>
      <c r="F351">
        <v>745</v>
      </c>
      <c r="G351">
        <v>180</v>
      </c>
      <c r="H351" s="3" t="s">
        <v>40</v>
      </c>
      <c r="I351" s="4">
        <f>igre_en[Play Time]/SQRT(igre_en[Max Players]*igre_en[Min Players])</f>
        <v>10.606601717798211</v>
      </c>
    </row>
    <row r="352" spans="1:9" x14ac:dyDescent="0.3">
      <c r="A352" s="3" t="s">
        <v>404</v>
      </c>
      <c r="B352">
        <v>2009</v>
      </c>
      <c r="C352">
        <v>2</v>
      </c>
      <c r="D352">
        <v>8</v>
      </c>
      <c r="E352">
        <v>15</v>
      </c>
      <c r="F352">
        <v>663</v>
      </c>
      <c r="G352">
        <v>103</v>
      </c>
      <c r="H352" s="3" t="s">
        <v>95</v>
      </c>
      <c r="I352" s="4">
        <f>igre_en[Play Time]/SQRT(igre_en[Max Players]*igre_en[Min Players])</f>
        <v>3.75</v>
      </c>
    </row>
    <row r="353" spans="1:9" x14ac:dyDescent="0.3">
      <c r="A353" s="3" t="s">
        <v>374</v>
      </c>
      <c r="B353">
        <v>2014</v>
      </c>
      <c r="C353">
        <v>3</v>
      </c>
      <c r="D353">
        <v>8</v>
      </c>
      <c r="E353">
        <v>15</v>
      </c>
      <c r="F353">
        <v>688</v>
      </c>
      <c r="G353">
        <v>124</v>
      </c>
      <c r="H353" s="3" t="s">
        <v>95</v>
      </c>
      <c r="I353" s="4">
        <f>igre_en[Play Time]/SQRT(igre_en[Max Players]*igre_en[Min Players])</f>
        <v>3.061862178478973</v>
      </c>
    </row>
    <row r="354" spans="1:9" x14ac:dyDescent="0.3">
      <c r="A354" s="3" t="s">
        <v>429</v>
      </c>
      <c r="B354">
        <v>2011</v>
      </c>
      <c r="C354">
        <v>2</v>
      </c>
      <c r="D354">
        <v>6</v>
      </c>
      <c r="E354">
        <v>40</v>
      </c>
      <c r="F354">
        <v>636</v>
      </c>
      <c r="G354">
        <v>144</v>
      </c>
      <c r="H354" s="3" t="s">
        <v>40</v>
      </c>
      <c r="I354" s="4">
        <f>igre_en[Play Time]/SQRT(igre_en[Max Players]*igre_en[Min Players])</f>
        <v>11.547005383792516</v>
      </c>
    </row>
    <row r="355" spans="1:9" x14ac:dyDescent="0.3">
      <c r="A355" s="3" t="s">
        <v>148</v>
      </c>
      <c r="B355">
        <v>2014</v>
      </c>
      <c r="C355">
        <v>2</v>
      </c>
      <c r="D355">
        <v>2</v>
      </c>
      <c r="E355">
        <v>20</v>
      </c>
      <c r="F355">
        <v>758</v>
      </c>
      <c r="G355">
        <v>194</v>
      </c>
      <c r="H355" s="3" t="s">
        <v>9</v>
      </c>
      <c r="I355" s="4">
        <f>igre_en[Play Time]/SQRT(igre_en[Max Players]*igre_en[Min Players])</f>
        <v>10</v>
      </c>
    </row>
    <row r="356" spans="1:9" x14ac:dyDescent="0.3">
      <c r="A356" s="3" t="s">
        <v>73</v>
      </c>
      <c r="B356">
        <v>2015</v>
      </c>
      <c r="C356">
        <v>2</v>
      </c>
      <c r="D356">
        <v>2</v>
      </c>
      <c r="E356">
        <v>20</v>
      </c>
      <c r="F356">
        <v>787</v>
      </c>
      <c r="G356">
        <v>190</v>
      </c>
      <c r="H356" s="3" t="s">
        <v>9</v>
      </c>
      <c r="I356" s="4">
        <f>igre_en[Play Time]/SQRT(igre_en[Max Players]*igre_en[Min Players])</f>
        <v>10</v>
      </c>
    </row>
    <row r="357" spans="1:9" x14ac:dyDescent="0.3">
      <c r="A357" s="3" t="s">
        <v>54</v>
      </c>
      <c r="B357">
        <v>2014</v>
      </c>
      <c r="C357">
        <v>1</v>
      </c>
      <c r="D357">
        <v>5</v>
      </c>
      <c r="E357">
        <v>120</v>
      </c>
      <c r="F357">
        <v>802</v>
      </c>
      <c r="G357">
        <v>330</v>
      </c>
      <c r="H357" s="3" t="s">
        <v>12</v>
      </c>
      <c r="I357" s="4">
        <f>igre_en[Play Time]/SQRT(igre_en[Max Players]*igre_en[Min Players])</f>
        <v>53.665631459994948</v>
      </c>
    </row>
    <row r="358" spans="1:9" x14ac:dyDescent="0.3">
      <c r="A358" s="3" t="s">
        <v>110</v>
      </c>
      <c r="B358">
        <v>2019</v>
      </c>
      <c r="C358">
        <v>1</v>
      </c>
      <c r="D358">
        <v>4</v>
      </c>
      <c r="E358">
        <v>180</v>
      </c>
      <c r="F358">
        <v>774</v>
      </c>
      <c r="G358">
        <v>247</v>
      </c>
      <c r="H358" s="3" t="s">
        <v>12</v>
      </c>
      <c r="I358" s="4">
        <f>igre_en[Play Time]/SQRT(igre_en[Max Players]*igre_en[Min Players])</f>
        <v>90</v>
      </c>
    </row>
    <row r="359" spans="1:9" x14ac:dyDescent="0.3">
      <c r="A359" s="3" t="s">
        <v>17</v>
      </c>
      <c r="B359">
        <v>2016</v>
      </c>
      <c r="C359">
        <v>2</v>
      </c>
      <c r="D359">
        <v>4</v>
      </c>
      <c r="E359">
        <v>240</v>
      </c>
      <c r="F359">
        <v>842</v>
      </c>
      <c r="G359">
        <v>371</v>
      </c>
      <c r="H359" s="3" t="s">
        <v>12</v>
      </c>
      <c r="I359" s="4">
        <f>igre_en[Play Time]/SQRT(igre_en[Max Players]*igre_en[Min Players])</f>
        <v>84.852813742385692</v>
      </c>
    </row>
    <row r="360" spans="1:9" x14ac:dyDescent="0.3">
      <c r="A360" s="3" t="s">
        <v>279</v>
      </c>
      <c r="B360">
        <v>2012</v>
      </c>
      <c r="C360">
        <v>2</v>
      </c>
      <c r="D360">
        <v>2</v>
      </c>
      <c r="E360">
        <v>60</v>
      </c>
      <c r="F360">
        <v>719</v>
      </c>
      <c r="G360">
        <v>296</v>
      </c>
      <c r="H360" s="3" t="s">
        <v>28</v>
      </c>
      <c r="I360" s="4">
        <f>igre_en[Play Time]/SQRT(igre_en[Max Players]*igre_en[Min Players])</f>
        <v>30</v>
      </c>
    </row>
    <row r="361" spans="1:9" x14ac:dyDescent="0.3">
      <c r="A361" s="3" t="s">
        <v>146</v>
      </c>
      <c r="B361">
        <v>2009</v>
      </c>
      <c r="C361">
        <v>3</v>
      </c>
      <c r="D361">
        <v>5</v>
      </c>
      <c r="E361">
        <v>90</v>
      </c>
      <c r="F361">
        <v>759</v>
      </c>
      <c r="G361">
        <v>346</v>
      </c>
      <c r="H361" s="3" t="s">
        <v>9</v>
      </c>
      <c r="I361" s="4">
        <f>igre_en[Play Time]/SQRT(igre_en[Max Players]*igre_en[Min Players])</f>
        <v>23.2379000772445</v>
      </c>
    </row>
    <row r="362" spans="1:9" x14ac:dyDescent="0.3">
      <c r="A362" s="3" t="s">
        <v>156</v>
      </c>
      <c r="B362">
        <v>2008</v>
      </c>
      <c r="C362">
        <v>2</v>
      </c>
      <c r="D362">
        <v>4</v>
      </c>
      <c r="E362">
        <v>90</v>
      </c>
      <c r="F362">
        <v>757</v>
      </c>
      <c r="G362">
        <v>248</v>
      </c>
      <c r="H362" s="3" t="s">
        <v>40</v>
      </c>
      <c r="I362" s="4">
        <f>igre_en[Play Time]/SQRT(igre_en[Max Players]*igre_en[Min Players])</f>
        <v>31.819805153394636</v>
      </c>
    </row>
    <row r="363" spans="1:9" x14ac:dyDescent="0.3">
      <c r="A363" s="3" t="s">
        <v>446</v>
      </c>
      <c r="B363">
        <v>1946</v>
      </c>
      <c r="C363">
        <v>2</v>
      </c>
      <c r="D363">
        <v>2</v>
      </c>
      <c r="E363">
        <v>45</v>
      </c>
      <c r="F363">
        <v>609</v>
      </c>
      <c r="G363">
        <v>185</v>
      </c>
      <c r="H363" s="3" t="s">
        <v>84</v>
      </c>
      <c r="I363" s="4">
        <f>igre_en[Play Time]/SQRT(igre_en[Max Players]*igre_en[Min Players])</f>
        <v>22.5</v>
      </c>
    </row>
    <row r="364" spans="1:9" x14ac:dyDescent="0.3">
      <c r="A364" s="3" t="s">
        <v>153</v>
      </c>
      <c r="B364">
        <v>2018</v>
      </c>
      <c r="C364">
        <v>2</v>
      </c>
      <c r="D364">
        <v>4</v>
      </c>
      <c r="E364">
        <v>90</v>
      </c>
      <c r="F364">
        <v>757</v>
      </c>
      <c r="G364">
        <v>241</v>
      </c>
      <c r="H364" s="3" t="s">
        <v>12</v>
      </c>
      <c r="I364" s="4">
        <f>igre_en[Play Time]/SQRT(igre_en[Max Players]*igre_en[Min Players])</f>
        <v>31.819805153394636</v>
      </c>
    </row>
    <row r="365" spans="1:9" x14ac:dyDescent="0.3">
      <c r="A365" s="3" t="s">
        <v>174</v>
      </c>
      <c r="B365">
        <v>2012</v>
      </c>
      <c r="C365">
        <v>1</v>
      </c>
      <c r="D365">
        <v>4</v>
      </c>
      <c r="E365">
        <v>90</v>
      </c>
      <c r="F365">
        <v>752</v>
      </c>
      <c r="G365">
        <v>278</v>
      </c>
      <c r="H365" s="3" t="s">
        <v>9</v>
      </c>
      <c r="I365" s="4">
        <f>igre_en[Play Time]/SQRT(igre_en[Max Players]*igre_en[Min Players])</f>
        <v>45</v>
      </c>
    </row>
    <row r="366" spans="1:9" x14ac:dyDescent="0.3">
      <c r="A366" s="3" t="s">
        <v>171</v>
      </c>
      <c r="B366">
        <v>2011</v>
      </c>
      <c r="C366">
        <v>2</v>
      </c>
      <c r="D366">
        <v>4</v>
      </c>
      <c r="E366">
        <v>60</v>
      </c>
      <c r="F366">
        <v>752</v>
      </c>
      <c r="G366">
        <v>251</v>
      </c>
      <c r="H366" s="3" t="s">
        <v>28</v>
      </c>
      <c r="I366" s="4">
        <f>igre_en[Play Time]/SQRT(igre_en[Max Players]*igre_en[Min Players])</f>
        <v>21.213203435596423</v>
      </c>
    </row>
    <row r="367" spans="1:9" x14ac:dyDescent="0.3">
      <c r="A367" s="3" t="s">
        <v>236</v>
      </c>
      <c r="B367">
        <v>1982</v>
      </c>
      <c r="C367">
        <v>2</v>
      </c>
      <c r="D367">
        <v>4</v>
      </c>
      <c r="E367">
        <v>60</v>
      </c>
      <c r="F367">
        <v>731</v>
      </c>
      <c r="G367">
        <v>171</v>
      </c>
      <c r="H367" s="3" t="s">
        <v>40</v>
      </c>
      <c r="I367" s="4">
        <f>igre_en[Play Time]/SQRT(igre_en[Max Players]*igre_en[Min Players])</f>
        <v>21.213203435596423</v>
      </c>
    </row>
    <row r="368" spans="1:9" x14ac:dyDescent="0.3">
      <c r="A368" s="3" t="s">
        <v>187</v>
      </c>
      <c r="B368">
        <v>2016</v>
      </c>
      <c r="C368">
        <v>2</v>
      </c>
      <c r="D368">
        <v>8</v>
      </c>
      <c r="E368">
        <v>20</v>
      </c>
      <c r="F368">
        <v>746</v>
      </c>
      <c r="G368">
        <v>132</v>
      </c>
      <c r="H368" s="3" t="s">
        <v>40</v>
      </c>
      <c r="I368" s="4">
        <f>igre_en[Play Time]/SQRT(igre_en[Max Players]*igre_en[Min Players])</f>
        <v>5</v>
      </c>
    </row>
    <row r="369" spans="1:9" x14ac:dyDescent="0.3">
      <c r="A369" s="3" t="s">
        <v>331</v>
      </c>
      <c r="B369">
        <v>2013</v>
      </c>
      <c r="C369">
        <v>2</v>
      </c>
      <c r="D369">
        <v>5</v>
      </c>
      <c r="E369">
        <v>15</v>
      </c>
      <c r="F369">
        <v>705</v>
      </c>
      <c r="G369">
        <v>117</v>
      </c>
      <c r="H369" s="3" t="s">
        <v>40</v>
      </c>
      <c r="I369" s="4">
        <f>igre_en[Play Time]/SQRT(igre_en[Max Players]*igre_en[Min Players])</f>
        <v>4.7434164902525691</v>
      </c>
    </row>
    <row r="370" spans="1:9" x14ac:dyDescent="0.3">
      <c r="A370" s="3" t="s">
        <v>162</v>
      </c>
      <c r="B370">
        <v>2015</v>
      </c>
      <c r="C370">
        <v>2</v>
      </c>
      <c r="D370">
        <v>4</v>
      </c>
      <c r="E370">
        <v>90</v>
      </c>
      <c r="F370">
        <v>755</v>
      </c>
      <c r="G370">
        <v>261</v>
      </c>
      <c r="H370" s="3" t="s">
        <v>12</v>
      </c>
      <c r="I370" s="4">
        <f>igre_en[Play Time]/SQRT(igre_en[Max Players]*igre_en[Min Players])</f>
        <v>31.819805153394636</v>
      </c>
    </row>
    <row r="371" spans="1:9" x14ac:dyDescent="0.3">
      <c r="A371" s="3" t="s">
        <v>435</v>
      </c>
      <c r="B371">
        <v>1989</v>
      </c>
      <c r="C371">
        <v>4</v>
      </c>
      <c r="D371">
        <v>10</v>
      </c>
      <c r="E371">
        <v>20</v>
      </c>
      <c r="F371">
        <v>629</v>
      </c>
      <c r="G371">
        <v>122</v>
      </c>
      <c r="H371" s="3" t="s">
        <v>95</v>
      </c>
      <c r="I371" s="4">
        <f>igre_en[Play Time]/SQRT(igre_en[Max Players]*igre_en[Min Players])</f>
        <v>3.1622776601683791</v>
      </c>
    </row>
    <row r="372" spans="1:9" x14ac:dyDescent="0.3">
      <c r="A372" s="3" t="s">
        <v>254</v>
      </c>
      <c r="B372">
        <v>2011</v>
      </c>
      <c r="C372">
        <v>2</v>
      </c>
      <c r="D372">
        <v>4</v>
      </c>
      <c r="E372">
        <v>45</v>
      </c>
      <c r="F372">
        <v>727</v>
      </c>
      <c r="G372">
        <v>198</v>
      </c>
      <c r="H372" s="3" t="s">
        <v>40</v>
      </c>
      <c r="I372" s="4">
        <f>igre_en[Play Time]/SQRT(igre_en[Max Players]*igre_en[Min Players])</f>
        <v>15.909902576697318</v>
      </c>
    </row>
    <row r="373" spans="1:9" x14ac:dyDescent="0.3">
      <c r="A373" s="3" t="s">
        <v>275</v>
      </c>
      <c r="B373">
        <v>2009</v>
      </c>
      <c r="C373">
        <v>1</v>
      </c>
      <c r="D373">
        <v>6</v>
      </c>
      <c r="E373">
        <v>120</v>
      </c>
      <c r="F373">
        <v>720</v>
      </c>
      <c r="G373">
        <v>216</v>
      </c>
      <c r="H373" s="3" t="s">
        <v>12</v>
      </c>
      <c r="I373" s="4">
        <f>igre_en[Play Time]/SQRT(igre_en[Max Players]*igre_en[Min Players])</f>
        <v>48.989794855663568</v>
      </c>
    </row>
    <row r="374" spans="1:9" x14ac:dyDescent="0.3">
      <c r="A374" s="3" t="s">
        <v>418</v>
      </c>
      <c r="B374">
        <v>2007</v>
      </c>
      <c r="C374">
        <v>2</v>
      </c>
      <c r="D374">
        <v>6</v>
      </c>
      <c r="E374">
        <v>90</v>
      </c>
      <c r="F374">
        <v>652</v>
      </c>
      <c r="G374">
        <v>219</v>
      </c>
      <c r="H374" s="3" t="s">
        <v>12</v>
      </c>
      <c r="I374" s="4">
        <f>igre_en[Play Time]/SQRT(igre_en[Max Players]*igre_en[Min Players])</f>
        <v>25.98076211353316</v>
      </c>
    </row>
    <row r="375" spans="1:9" x14ac:dyDescent="0.3">
      <c r="A375" s="3" t="s">
        <v>181</v>
      </c>
      <c r="B375">
        <v>2019</v>
      </c>
      <c r="C375">
        <v>1</v>
      </c>
      <c r="D375">
        <v>5</v>
      </c>
      <c r="E375">
        <v>120</v>
      </c>
      <c r="F375">
        <v>749</v>
      </c>
      <c r="G375">
        <v>288</v>
      </c>
      <c r="H375" s="3" t="s">
        <v>9</v>
      </c>
      <c r="I375" s="4">
        <f>igre_en[Play Time]/SQRT(igre_en[Max Players]*igre_en[Min Players])</f>
        <v>53.665631459994948</v>
      </c>
    </row>
    <row r="376" spans="1:9" x14ac:dyDescent="0.3">
      <c r="A376" s="3" t="s">
        <v>133</v>
      </c>
      <c r="B376">
        <v>2012</v>
      </c>
      <c r="C376">
        <v>2</v>
      </c>
      <c r="D376">
        <v>2</v>
      </c>
      <c r="E376">
        <v>60</v>
      </c>
      <c r="F376">
        <v>764</v>
      </c>
      <c r="G376">
        <v>235</v>
      </c>
      <c r="H376" s="3" t="s">
        <v>9</v>
      </c>
      <c r="I376" s="4">
        <f>igre_en[Play Time]/SQRT(igre_en[Max Players]*igre_en[Min Players])</f>
        <v>30</v>
      </c>
    </row>
    <row r="377" spans="1:9" x14ac:dyDescent="0.3">
      <c r="A377" s="3" t="s">
        <v>211</v>
      </c>
      <c r="B377">
        <v>2009</v>
      </c>
      <c r="C377">
        <v>4</v>
      </c>
      <c r="D377">
        <v>8</v>
      </c>
      <c r="E377">
        <v>30</v>
      </c>
      <c r="F377">
        <v>740</v>
      </c>
      <c r="G377">
        <v>108</v>
      </c>
      <c r="H377" s="3" t="s">
        <v>95</v>
      </c>
      <c r="I377" s="4">
        <f>igre_en[Play Time]/SQRT(igre_en[Max Players]*igre_en[Min Players])</f>
        <v>5.3033008588991057</v>
      </c>
    </row>
    <row r="378" spans="1:9" x14ac:dyDescent="0.3">
      <c r="A378" s="3" t="s">
        <v>62</v>
      </c>
      <c r="B378">
        <v>2018</v>
      </c>
      <c r="C378">
        <v>1</v>
      </c>
      <c r="D378">
        <v>4</v>
      </c>
      <c r="E378">
        <v>120</v>
      </c>
      <c r="F378">
        <v>795</v>
      </c>
      <c r="G378">
        <v>377</v>
      </c>
      <c r="H378" s="3" t="s">
        <v>9</v>
      </c>
      <c r="I378" s="4">
        <f>igre_en[Play Time]/SQRT(igre_en[Max Players]*igre_en[Min Players])</f>
        <v>60</v>
      </c>
    </row>
    <row r="379" spans="1:9" x14ac:dyDescent="0.3">
      <c r="A379" s="3" t="s">
        <v>33</v>
      </c>
      <c r="B379">
        <v>2012</v>
      </c>
      <c r="C379">
        <v>2</v>
      </c>
      <c r="D379">
        <v>5</v>
      </c>
      <c r="E379">
        <v>150</v>
      </c>
      <c r="F379">
        <v>814</v>
      </c>
      <c r="G379">
        <v>396</v>
      </c>
      <c r="H379" s="3" t="s">
        <v>9</v>
      </c>
      <c r="I379" s="4">
        <f>igre_en[Play Time]/SQRT(igre_en[Max Players]*igre_en[Min Players])</f>
        <v>47.434164902525687</v>
      </c>
    </row>
    <row r="380" spans="1:9" x14ac:dyDescent="0.3">
      <c r="A380" s="3" t="s">
        <v>16</v>
      </c>
      <c r="B380">
        <v>2016</v>
      </c>
      <c r="C380">
        <v>1</v>
      </c>
      <c r="D380">
        <v>5</v>
      </c>
      <c r="E380">
        <v>120</v>
      </c>
      <c r="F380">
        <v>843</v>
      </c>
      <c r="G380">
        <v>324</v>
      </c>
      <c r="H380" s="3" t="s">
        <v>9</v>
      </c>
      <c r="I380" s="4">
        <f>igre_en[Play Time]/SQRT(igre_en[Max Players]*igre_en[Min Players])</f>
        <v>53.665631459994948</v>
      </c>
    </row>
    <row r="381" spans="1:9" x14ac:dyDescent="0.3">
      <c r="A381" s="3" t="s">
        <v>377</v>
      </c>
      <c r="B381">
        <v>2013</v>
      </c>
      <c r="C381">
        <v>2</v>
      </c>
      <c r="D381">
        <v>4</v>
      </c>
      <c r="E381">
        <v>45</v>
      </c>
      <c r="F381">
        <v>686</v>
      </c>
      <c r="G381">
        <v>148</v>
      </c>
      <c r="H381" s="3" t="s">
        <v>40</v>
      </c>
      <c r="I381" s="4">
        <f>igre_en[Play Time]/SQRT(igre_en[Max Players]*igre_en[Min Players])</f>
        <v>15.909902576697318</v>
      </c>
    </row>
    <row r="382" spans="1:9" x14ac:dyDescent="0.3">
      <c r="A382" s="3" t="s">
        <v>130</v>
      </c>
      <c r="B382">
        <v>2018</v>
      </c>
      <c r="C382">
        <v>1</v>
      </c>
      <c r="D382">
        <v>4</v>
      </c>
      <c r="E382">
        <v>30</v>
      </c>
      <c r="F382">
        <v>764</v>
      </c>
      <c r="G382">
        <v>189</v>
      </c>
      <c r="H382" s="3" t="s">
        <v>40</v>
      </c>
      <c r="I382" s="4">
        <f>igre_en[Play Time]/SQRT(igre_en[Max Players]*igre_en[Min Players])</f>
        <v>15</v>
      </c>
    </row>
    <row r="383" spans="1:9" x14ac:dyDescent="0.3">
      <c r="A383" s="3" t="s">
        <v>31</v>
      </c>
      <c r="B383">
        <v>2017</v>
      </c>
      <c r="C383">
        <v>1</v>
      </c>
      <c r="D383">
        <v>4</v>
      </c>
      <c r="E383">
        <v>1000</v>
      </c>
      <c r="F383">
        <v>815</v>
      </c>
      <c r="G383">
        <v>287</v>
      </c>
      <c r="H383" s="3" t="s">
        <v>12</v>
      </c>
      <c r="I383" s="4">
        <f>igre_en[Play Time]/SQRT(igre_en[Max Players]*igre_en[Min Players])</f>
        <v>500</v>
      </c>
    </row>
    <row r="384" spans="1:9" x14ac:dyDescent="0.3">
      <c r="A384" s="3" t="s">
        <v>34</v>
      </c>
      <c r="B384">
        <v>2011</v>
      </c>
      <c r="C384">
        <v>2</v>
      </c>
      <c r="D384">
        <v>4</v>
      </c>
      <c r="E384">
        <v>90</v>
      </c>
      <c r="F384">
        <v>813</v>
      </c>
      <c r="G384">
        <v>300</v>
      </c>
      <c r="H384" s="3" t="s">
        <v>9</v>
      </c>
      <c r="I384" s="4">
        <f>igre_en[Play Time]/SQRT(igre_en[Max Players]*igre_en[Min Players])</f>
        <v>31.819805153394636</v>
      </c>
    </row>
    <row r="385" spans="1:9" x14ac:dyDescent="0.3">
      <c r="A385" s="3" t="s">
        <v>261</v>
      </c>
      <c r="B385">
        <v>2017</v>
      </c>
      <c r="C385">
        <v>2</v>
      </c>
      <c r="D385">
        <v>2</v>
      </c>
      <c r="E385">
        <v>30</v>
      </c>
      <c r="F385">
        <v>725</v>
      </c>
      <c r="G385">
        <v>159</v>
      </c>
      <c r="H385" s="3" t="s">
        <v>40</v>
      </c>
      <c r="I385" s="4">
        <f>igre_en[Play Time]/SQRT(igre_en[Max Players]*igre_en[Min Players])</f>
        <v>15</v>
      </c>
    </row>
    <row r="386" spans="1:9" x14ac:dyDescent="0.3">
      <c r="A386" s="3" t="s">
        <v>53</v>
      </c>
      <c r="B386">
        <v>2015</v>
      </c>
      <c r="C386">
        <v>1</v>
      </c>
      <c r="D386">
        <v>4</v>
      </c>
      <c r="E386">
        <v>150</v>
      </c>
      <c r="F386">
        <v>804</v>
      </c>
      <c r="G386">
        <v>428</v>
      </c>
      <c r="H386" s="3" t="s">
        <v>9</v>
      </c>
      <c r="I386" s="4">
        <f>igre_en[Play Time]/SQRT(igre_en[Max Players]*igre_en[Min Players])</f>
        <v>75</v>
      </c>
    </row>
    <row r="387" spans="1:9" x14ac:dyDescent="0.3">
      <c r="A387" s="3" t="s">
        <v>396</v>
      </c>
      <c r="B387">
        <v>2015</v>
      </c>
      <c r="C387">
        <v>1</v>
      </c>
      <c r="D387">
        <v>5</v>
      </c>
      <c r="E387">
        <v>20</v>
      </c>
      <c r="F387">
        <v>671</v>
      </c>
      <c r="G387">
        <v>126</v>
      </c>
      <c r="H387" s="3" t="s">
        <v>40</v>
      </c>
      <c r="I387" s="4">
        <f>igre_en[Play Time]/SQRT(igre_en[Max Players]*igre_en[Min Players])</f>
        <v>8.9442719099991592</v>
      </c>
    </row>
    <row r="388" spans="1:9" x14ac:dyDescent="0.3">
      <c r="A388" s="3" t="s">
        <v>471</v>
      </c>
      <c r="B388">
        <v>1960</v>
      </c>
      <c r="C388">
        <v>2</v>
      </c>
      <c r="D388">
        <v>6</v>
      </c>
      <c r="E388">
        <v>60</v>
      </c>
      <c r="F388">
        <v>430</v>
      </c>
      <c r="G388">
        <v>118</v>
      </c>
      <c r="H388" s="3" t="s">
        <v>40</v>
      </c>
      <c r="I388" s="4">
        <f>igre_en[Play Time]/SQRT(igre_en[Max Players]*igre_en[Min Players])</f>
        <v>17.320508075688775</v>
      </c>
    </row>
    <row r="389" spans="1:9" x14ac:dyDescent="0.3">
      <c r="A389" s="3" t="s">
        <v>412</v>
      </c>
      <c r="B389">
        <v>1995</v>
      </c>
      <c r="C389">
        <v>4</v>
      </c>
      <c r="D389">
        <v>8</v>
      </c>
      <c r="E389">
        <v>60</v>
      </c>
      <c r="F389">
        <v>656</v>
      </c>
      <c r="G389">
        <v>129</v>
      </c>
      <c r="H389" s="3" t="s">
        <v>95</v>
      </c>
      <c r="I389" s="4">
        <f>igre_en[Play Time]/SQRT(igre_en[Max Players]*igre_en[Min Players])</f>
        <v>10.606601717798211</v>
      </c>
    </row>
    <row r="390" spans="1:9" x14ac:dyDescent="0.3">
      <c r="A390" s="3" t="s">
        <v>277</v>
      </c>
      <c r="B390">
        <v>2015</v>
      </c>
      <c r="C390">
        <v>2</v>
      </c>
      <c r="D390">
        <v>5</v>
      </c>
      <c r="E390">
        <v>30</v>
      </c>
      <c r="F390">
        <v>720</v>
      </c>
      <c r="G390">
        <v>194</v>
      </c>
      <c r="H390" s="3" t="s">
        <v>12</v>
      </c>
      <c r="I390" s="4">
        <f>igre_en[Play Time]/SQRT(igre_en[Max Players]*igre_en[Min Players])</f>
        <v>9.4868329805051381</v>
      </c>
    </row>
    <row r="391" spans="1:9" x14ac:dyDescent="0.3">
      <c r="A391" s="3" t="s">
        <v>52</v>
      </c>
      <c r="B391">
        <v>2019</v>
      </c>
      <c r="C391">
        <v>1</v>
      </c>
      <c r="D391">
        <v>4</v>
      </c>
      <c r="E391">
        <v>90</v>
      </c>
      <c r="F391">
        <v>804</v>
      </c>
      <c r="G391">
        <v>232</v>
      </c>
      <c r="H391" s="3" t="s">
        <v>40</v>
      </c>
      <c r="I391" s="4">
        <f>igre_en[Play Time]/SQRT(igre_en[Max Players]*igre_en[Min Players])</f>
        <v>45</v>
      </c>
    </row>
    <row r="392" spans="1:9" x14ac:dyDescent="0.3">
      <c r="A392" s="3" t="s">
        <v>389</v>
      </c>
      <c r="B392">
        <v>2000</v>
      </c>
      <c r="C392">
        <v>2</v>
      </c>
      <c r="D392">
        <v>5</v>
      </c>
      <c r="E392">
        <v>90</v>
      </c>
      <c r="F392">
        <v>675</v>
      </c>
      <c r="G392">
        <v>256</v>
      </c>
      <c r="H392" s="3" t="s">
        <v>12</v>
      </c>
      <c r="I392" s="4">
        <f>igre_en[Play Time]/SQRT(igre_en[Max Players]*igre_en[Min Players])</f>
        <v>28.460498941515411</v>
      </c>
    </row>
    <row r="393" spans="1:9" x14ac:dyDescent="0.3">
      <c r="A393" s="3" t="s">
        <v>221</v>
      </c>
      <c r="B393">
        <v>2012</v>
      </c>
      <c r="C393">
        <v>2</v>
      </c>
      <c r="D393">
        <v>5</v>
      </c>
      <c r="E393">
        <v>120</v>
      </c>
      <c r="F393">
        <v>736</v>
      </c>
      <c r="G393">
        <v>296</v>
      </c>
      <c r="H393" s="3" t="s">
        <v>9</v>
      </c>
      <c r="I393" s="4">
        <f>igre_en[Play Time]/SQRT(igre_en[Max Players]*igre_en[Min Players])</f>
        <v>37.947331922020552</v>
      </c>
    </row>
    <row r="394" spans="1:9" x14ac:dyDescent="0.3">
      <c r="A394" s="3" t="s">
        <v>369</v>
      </c>
      <c r="B394">
        <v>2018</v>
      </c>
      <c r="C394">
        <v>2</v>
      </c>
      <c r="D394">
        <v>4</v>
      </c>
      <c r="E394">
        <v>15</v>
      </c>
      <c r="F394">
        <v>691</v>
      </c>
      <c r="G394">
        <v>108</v>
      </c>
      <c r="H394" s="3" t="s">
        <v>40</v>
      </c>
      <c r="I394" s="4">
        <f>igre_en[Play Time]/SQRT(igre_en[Max Players]*igre_en[Min Players])</f>
        <v>5.3033008588991057</v>
      </c>
    </row>
    <row r="395" spans="1:9" x14ac:dyDescent="0.3">
      <c r="A395" s="3" t="s">
        <v>245</v>
      </c>
      <c r="B395">
        <v>2006</v>
      </c>
      <c r="C395">
        <v>2</v>
      </c>
      <c r="D395">
        <v>4</v>
      </c>
      <c r="E395">
        <v>120</v>
      </c>
      <c r="F395">
        <v>729</v>
      </c>
      <c r="G395">
        <v>282</v>
      </c>
      <c r="H395" s="3" t="s">
        <v>9</v>
      </c>
      <c r="I395" s="4">
        <f>igre_en[Play Time]/SQRT(igre_en[Max Players]*igre_en[Min Players])</f>
        <v>42.426406871192846</v>
      </c>
    </row>
    <row r="396" spans="1:9" x14ac:dyDescent="0.3">
      <c r="A396" s="3" t="s">
        <v>167</v>
      </c>
      <c r="B396">
        <v>2000</v>
      </c>
      <c r="C396">
        <v>2</v>
      </c>
      <c r="D396">
        <v>5</v>
      </c>
      <c r="E396">
        <v>100</v>
      </c>
      <c r="F396">
        <v>753</v>
      </c>
      <c r="G396">
        <v>325</v>
      </c>
      <c r="H396" s="3" t="s">
        <v>9</v>
      </c>
      <c r="I396" s="4">
        <f>igre_en[Play Time]/SQRT(igre_en[Max Players]*igre_en[Min Players])</f>
        <v>31.622776601683793</v>
      </c>
    </row>
    <row r="397" spans="1:9" x14ac:dyDescent="0.3">
      <c r="A397" s="3" t="s">
        <v>86</v>
      </c>
      <c r="B397">
        <v>2018</v>
      </c>
      <c r="C397">
        <v>2</v>
      </c>
      <c r="D397">
        <v>4</v>
      </c>
      <c r="E397">
        <v>45</v>
      </c>
      <c r="F397">
        <v>782</v>
      </c>
      <c r="G397">
        <v>194</v>
      </c>
      <c r="H397" s="3" t="s">
        <v>40</v>
      </c>
      <c r="I397" s="4">
        <f>igre_en[Play Time]/SQRT(igre_en[Max Players]*igre_en[Min Players])</f>
        <v>15.909902576697318</v>
      </c>
    </row>
    <row r="398" spans="1:9" x14ac:dyDescent="0.3">
      <c r="A398" s="3" t="s">
        <v>140</v>
      </c>
      <c r="B398">
        <v>2017</v>
      </c>
      <c r="C398">
        <v>2</v>
      </c>
      <c r="D398">
        <v>4</v>
      </c>
      <c r="E398">
        <v>60</v>
      </c>
      <c r="F398">
        <v>761</v>
      </c>
      <c r="G398">
        <v>193</v>
      </c>
      <c r="H398" s="3" t="s">
        <v>40</v>
      </c>
      <c r="I398" s="4">
        <f>igre_en[Play Time]/SQRT(igre_en[Max Players]*igre_en[Min Players])</f>
        <v>21.213203435596423</v>
      </c>
    </row>
    <row r="399" spans="1:9" x14ac:dyDescent="0.3">
      <c r="A399" s="3" t="s">
        <v>411</v>
      </c>
      <c r="B399">
        <v>2007</v>
      </c>
      <c r="C399">
        <v>2</v>
      </c>
      <c r="D399">
        <v>4</v>
      </c>
      <c r="E399">
        <v>45</v>
      </c>
      <c r="F399">
        <v>656</v>
      </c>
      <c r="G399">
        <v>166</v>
      </c>
      <c r="H399" s="3" t="s">
        <v>95</v>
      </c>
      <c r="I399" s="4">
        <f>igre_en[Play Time]/SQRT(igre_en[Max Players]*igre_en[Min Players])</f>
        <v>15.909902576697318</v>
      </c>
    </row>
    <row r="400" spans="1:9" x14ac:dyDescent="0.3">
      <c r="A400" s="3" t="s">
        <v>251</v>
      </c>
      <c r="B400">
        <v>2009</v>
      </c>
      <c r="C400">
        <v>5</v>
      </c>
      <c r="D400">
        <v>10</v>
      </c>
      <c r="E400">
        <v>30</v>
      </c>
      <c r="F400">
        <v>728</v>
      </c>
      <c r="G400">
        <v>161</v>
      </c>
      <c r="H400" s="3" t="s">
        <v>95</v>
      </c>
      <c r="I400" s="4">
        <f>igre_en[Play Time]/SQRT(igre_en[Max Players]*igre_en[Min Players])</f>
        <v>4.2426406871192848</v>
      </c>
    </row>
    <row r="401" spans="1:9" x14ac:dyDescent="0.3">
      <c r="A401" s="3" t="s">
        <v>147</v>
      </c>
      <c r="B401">
        <v>2012</v>
      </c>
      <c r="C401">
        <v>5</v>
      </c>
      <c r="D401">
        <v>10</v>
      </c>
      <c r="E401">
        <v>30</v>
      </c>
      <c r="F401">
        <v>758</v>
      </c>
      <c r="G401">
        <v>177</v>
      </c>
      <c r="H401" s="3" t="s">
        <v>95</v>
      </c>
      <c r="I401" s="4">
        <f>igre_en[Play Time]/SQRT(igre_en[Max Players]*igre_en[Min Players])</f>
        <v>4.2426406871192848</v>
      </c>
    </row>
    <row r="402" spans="1:9" x14ac:dyDescent="0.3">
      <c r="A402" s="3" t="s">
        <v>135</v>
      </c>
      <c r="B402">
        <v>2019</v>
      </c>
      <c r="C402">
        <v>2</v>
      </c>
      <c r="D402">
        <v>4</v>
      </c>
      <c r="E402">
        <v>60</v>
      </c>
      <c r="F402">
        <v>763</v>
      </c>
      <c r="G402">
        <v>266</v>
      </c>
      <c r="H402" s="3" t="s">
        <v>9</v>
      </c>
      <c r="I402" s="4">
        <f>igre_en[Play Time]/SQRT(igre_en[Max Players]*igre_en[Min Players])</f>
        <v>21.213203435596423</v>
      </c>
    </row>
    <row r="403" spans="1:9" x14ac:dyDescent="0.3">
      <c r="A403" s="3" t="s">
        <v>72</v>
      </c>
      <c r="B403">
        <v>2015</v>
      </c>
      <c r="C403">
        <v>2</v>
      </c>
      <c r="D403">
        <v>4</v>
      </c>
      <c r="E403">
        <v>100</v>
      </c>
      <c r="F403">
        <v>787</v>
      </c>
      <c r="G403">
        <v>319</v>
      </c>
      <c r="H403" s="3" t="s">
        <v>9</v>
      </c>
      <c r="I403" s="4">
        <f>igre_en[Play Time]/SQRT(igre_en[Max Players]*igre_en[Min Players])</f>
        <v>35.35533905932737</v>
      </c>
    </row>
    <row r="404" spans="1:9" x14ac:dyDescent="0.3">
      <c r="A404" s="3" t="s">
        <v>299</v>
      </c>
      <c r="B404">
        <v>2007</v>
      </c>
      <c r="C404">
        <v>2</v>
      </c>
      <c r="D404">
        <v>4</v>
      </c>
      <c r="E404">
        <v>60</v>
      </c>
      <c r="F404">
        <v>714</v>
      </c>
      <c r="G404">
        <v>216</v>
      </c>
      <c r="H404" s="3" t="s">
        <v>40</v>
      </c>
      <c r="I404" s="4">
        <f>igre_en[Play Time]/SQRT(igre_en[Max Players]*igre_en[Min Players])</f>
        <v>21.213203435596423</v>
      </c>
    </row>
    <row r="405" spans="1:9" x14ac:dyDescent="0.3">
      <c r="A405" s="3" t="s">
        <v>316</v>
      </c>
      <c r="B405">
        <v>1998</v>
      </c>
      <c r="C405">
        <v>2</v>
      </c>
      <c r="D405">
        <v>5</v>
      </c>
      <c r="E405">
        <v>45</v>
      </c>
      <c r="F405">
        <v>707</v>
      </c>
      <c r="G405">
        <v>221</v>
      </c>
      <c r="H405" s="3" t="s">
        <v>84</v>
      </c>
      <c r="I405" s="4">
        <f>igre_en[Play Time]/SQRT(igre_en[Max Players]*igre_en[Min Players])</f>
        <v>14.230249470757705</v>
      </c>
    </row>
    <row r="406" spans="1:9" x14ac:dyDescent="0.3">
      <c r="A406" s="3" t="s">
        <v>361</v>
      </c>
      <c r="B406">
        <v>2009</v>
      </c>
      <c r="C406">
        <v>1</v>
      </c>
      <c r="D406">
        <v>5</v>
      </c>
      <c r="E406">
        <v>60</v>
      </c>
      <c r="F406">
        <v>694</v>
      </c>
      <c r="G406">
        <v>250</v>
      </c>
      <c r="H406" s="3" t="s">
        <v>9</v>
      </c>
      <c r="I406" s="4">
        <f>igre_en[Play Time]/SQRT(igre_en[Max Players]*igre_en[Min Players])</f>
        <v>26.832815729997474</v>
      </c>
    </row>
    <row r="407" spans="1:9" x14ac:dyDescent="0.3">
      <c r="A407" s="3" t="s">
        <v>310</v>
      </c>
      <c r="B407">
        <v>2006</v>
      </c>
      <c r="C407">
        <v>2</v>
      </c>
      <c r="D407">
        <v>4</v>
      </c>
      <c r="E407">
        <v>60</v>
      </c>
      <c r="F407">
        <v>710</v>
      </c>
      <c r="G407">
        <v>226</v>
      </c>
      <c r="H407" s="3" t="s">
        <v>40</v>
      </c>
      <c r="I407" s="4">
        <f>igre_en[Play Time]/SQRT(igre_en[Max Players]*igre_en[Min Players])</f>
        <v>21.213203435596423</v>
      </c>
    </row>
    <row r="408" spans="1:9" x14ac:dyDescent="0.3">
      <c r="A408" s="3" t="s">
        <v>150</v>
      </c>
      <c r="B408">
        <v>1991</v>
      </c>
      <c r="C408">
        <v>4</v>
      </c>
      <c r="D408">
        <v>4</v>
      </c>
      <c r="E408">
        <v>60</v>
      </c>
      <c r="F408">
        <v>758</v>
      </c>
      <c r="G408">
        <v>234</v>
      </c>
      <c r="H408" s="3" t="s">
        <v>9</v>
      </c>
      <c r="I408" s="4">
        <f>igre_en[Play Time]/SQRT(igre_en[Max Players]*igre_en[Min Players])</f>
        <v>15</v>
      </c>
    </row>
    <row r="409" spans="1:9" x14ac:dyDescent="0.3">
      <c r="A409" s="3" t="s">
        <v>198</v>
      </c>
      <c r="B409">
        <v>2004</v>
      </c>
      <c r="C409">
        <v>2</v>
      </c>
      <c r="D409">
        <v>5</v>
      </c>
      <c r="E409">
        <v>60</v>
      </c>
      <c r="F409">
        <v>742</v>
      </c>
      <c r="G409">
        <v>185</v>
      </c>
      <c r="H409" s="3" t="s">
        <v>40</v>
      </c>
      <c r="I409" s="4">
        <f>igre_en[Play Time]/SQRT(igre_en[Max Players]*igre_en[Min Players])</f>
        <v>18.973665961010276</v>
      </c>
    </row>
    <row r="410" spans="1:9" x14ac:dyDescent="0.3">
      <c r="A410" s="3" t="s">
        <v>161</v>
      </c>
      <c r="B410">
        <v>2005</v>
      </c>
      <c r="C410">
        <v>2</v>
      </c>
      <c r="D410">
        <v>5</v>
      </c>
      <c r="E410">
        <v>60</v>
      </c>
      <c r="F410">
        <v>755</v>
      </c>
      <c r="G410">
        <v>194</v>
      </c>
      <c r="H410" s="3" t="s">
        <v>40</v>
      </c>
      <c r="I410" s="4">
        <f>igre_en[Play Time]/SQRT(igre_en[Max Players]*igre_en[Min Players])</f>
        <v>18.973665961010276</v>
      </c>
    </row>
    <row r="411" spans="1:9" x14ac:dyDescent="0.3">
      <c r="A411" s="3" t="s">
        <v>473</v>
      </c>
      <c r="B411">
        <v>2006</v>
      </c>
      <c r="C411">
        <v>2</v>
      </c>
      <c r="D411">
        <v>5</v>
      </c>
      <c r="E411">
        <v>60</v>
      </c>
      <c r="F411">
        <v>741</v>
      </c>
      <c r="G411">
        <v>224</v>
      </c>
      <c r="H411" s="3" t="s">
        <v>40</v>
      </c>
      <c r="I411" s="4">
        <f>igre_en[Play Time]/SQRT(igre_en[Max Players]*igre_en[Min Players])</f>
        <v>18.973665961010276</v>
      </c>
    </row>
    <row r="412" spans="1:9" x14ac:dyDescent="0.3">
      <c r="A412" s="3" t="s">
        <v>401</v>
      </c>
      <c r="B412">
        <v>2015</v>
      </c>
      <c r="C412">
        <v>2</v>
      </c>
      <c r="D412">
        <v>2</v>
      </c>
      <c r="E412">
        <v>20</v>
      </c>
      <c r="F412">
        <v>666</v>
      </c>
      <c r="G412">
        <v>158</v>
      </c>
      <c r="H412" s="3" t="s">
        <v>9</v>
      </c>
      <c r="I412" s="4">
        <f>igre_en[Play Time]/SQRT(igre_en[Max Players]*igre_en[Min Players])</f>
        <v>10</v>
      </c>
    </row>
    <row r="413" spans="1:9" x14ac:dyDescent="0.3">
      <c r="A413" s="3" t="s">
        <v>118</v>
      </c>
      <c r="B413">
        <v>1997</v>
      </c>
      <c r="C413">
        <v>2</v>
      </c>
      <c r="D413">
        <v>4</v>
      </c>
      <c r="E413">
        <v>90</v>
      </c>
      <c r="F413">
        <v>770</v>
      </c>
      <c r="G413">
        <v>351</v>
      </c>
      <c r="H413" s="3" t="s">
        <v>9</v>
      </c>
      <c r="I413" s="4">
        <f>igre_en[Play Time]/SQRT(igre_en[Max Players]*igre_en[Min Players])</f>
        <v>31.819805153394636</v>
      </c>
    </row>
    <row r="414" spans="1:9" x14ac:dyDescent="0.3">
      <c r="A414" s="3" t="s">
        <v>229</v>
      </c>
      <c r="B414">
        <v>1999</v>
      </c>
      <c r="C414">
        <v>2</v>
      </c>
      <c r="D414">
        <v>4</v>
      </c>
      <c r="E414">
        <v>90</v>
      </c>
      <c r="F414">
        <v>734</v>
      </c>
      <c r="G414">
        <v>280</v>
      </c>
      <c r="H414" s="3" t="s">
        <v>9</v>
      </c>
      <c r="I414" s="4">
        <f>igre_en[Play Time]/SQRT(igre_en[Max Players]*igre_en[Min Players])</f>
        <v>31.819805153394636</v>
      </c>
    </row>
    <row r="415" spans="1:9" x14ac:dyDescent="0.3">
      <c r="A415" s="3" t="s">
        <v>393</v>
      </c>
      <c r="B415">
        <v>2010</v>
      </c>
      <c r="C415">
        <v>2</v>
      </c>
      <c r="D415">
        <v>8</v>
      </c>
      <c r="E415">
        <v>15</v>
      </c>
      <c r="F415">
        <v>671</v>
      </c>
      <c r="G415">
        <v>111</v>
      </c>
      <c r="H415" s="3" t="s">
        <v>40</v>
      </c>
      <c r="I415" s="4">
        <f>igre_en[Play Time]/SQRT(igre_en[Max Players]*igre_en[Min Players])</f>
        <v>3.75</v>
      </c>
    </row>
    <row r="416" spans="1:9" x14ac:dyDescent="0.3">
      <c r="A416" s="3" t="s">
        <v>220</v>
      </c>
      <c r="B416">
        <v>2015</v>
      </c>
      <c r="C416">
        <v>1</v>
      </c>
      <c r="D416">
        <v>5</v>
      </c>
      <c r="E416">
        <v>45</v>
      </c>
      <c r="F416">
        <v>737</v>
      </c>
      <c r="G416">
        <v>216</v>
      </c>
      <c r="H416" s="3" t="s">
        <v>9</v>
      </c>
      <c r="I416" s="4">
        <f>igre_en[Play Time]/SQRT(igre_en[Max Players]*igre_en[Min Players])</f>
        <v>20.124611797498105</v>
      </c>
    </row>
    <row r="417" spans="1:9" x14ac:dyDescent="0.3">
      <c r="A417" s="3" t="s">
        <v>408</v>
      </c>
      <c r="B417">
        <v>2014</v>
      </c>
      <c r="C417">
        <v>2</v>
      </c>
      <c r="D417">
        <v>5</v>
      </c>
      <c r="E417">
        <v>45</v>
      </c>
      <c r="F417">
        <v>660</v>
      </c>
      <c r="G417">
        <v>209</v>
      </c>
      <c r="H417" s="3" t="s">
        <v>9</v>
      </c>
      <c r="I417" s="4">
        <f>igre_en[Play Time]/SQRT(igre_en[Max Players]*igre_en[Min Players])</f>
        <v>14.230249470757705</v>
      </c>
    </row>
    <row r="418" spans="1:9" x14ac:dyDescent="0.3">
      <c r="A418" s="3" t="s">
        <v>321</v>
      </c>
      <c r="B418">
        <v>2017</v>
      </c>
      <c r="C418">
        <v>1</v>
      </c>
      <c r="D418">
        <v>4</v>
      </c>
      <c r="E418">
        <v>60</v>
      </c>
      <c r="F418">
        <v>706</v>
      </c>
      <c r="G418">
        <v>266</v>
      </c>
      <c r="H418" s="3" t="s">
        <v>9</v>
      </c>
      <c r="I418" s="4">
        <f>igre_en[Play Time]/SQRT(igre_en[Max Players]*igre_en[Min Players])</f>
        <v>30</v>
      </c>
    </row>
    <row r="419" spans="1:9" x14ac:dyDescent="0.3">
      <c r="A419" s="3" t="s">
        <v>399</v>
      </c>
      <c r="B419">
        <v>2016</v>
      </c>
      <c r="C419">
        <v>1</v>
      </c>
      <c r="D419">
        <v>4</v>
      </c>
      <c r="E419">
        <v>45</v>
      </c>
      <c r="F419">
        <v>668</v>
      </c>
      <c r="G419">
        <v>287</v>
      </c>
      <c r="H419" s="3" t="s">
        <v>9</v>
      </c>
      <c r="I419" s="4">
        <f>igre_en[Play Time]/SQRT(igre_en[Max Players]*igre_en[Min Players])</f>
        <v>22.5</v>
      </c>
    </row>
    <row r="420" spans="1:9" x14ac:dyDescent="0.3">
      <c r="A420" s="3" t="s">
        <v>338</v>
      </c>
      <c r="B420">
        <v>2018</v>
      </c>
      <c r="C420">
        <v>1</v>
      </c>
      <c r="D420">
        <v>5</v>
      </c>
      <c r="E420">
        <v>45</v>
      </c>
      <c r="F420">
        <v>703</v>
      </c>
      <c r="G420">
        <v>243</v>
      </c>
      <c r="H420" s="3" t="s">
        <v>12</v>
      </c>
      <c r="I420" s="4">
        <f>igre_en[Play Time]/SQRT(igre_en[Max Players]*igre_en[Min Players])</f>
        <v>20.124611797498105</v>
      </c>
    </row>
    <row r="421" spans="1:9" x14ac:dyDescent="0.3">
      <c r="A421" s="3" t="s">
        <v>223</v>
      </c>
      <c r="B421">
        <v>2019</v>
      </c>
      <c r="C421">
        <v>1</v>
      </c>
      <c r="D421">
        <v>6</v>
      </c>
      <c r="E421">
        <v>60</v>
      </c>
      <c r="F421">
        <v>736</v>
      </c>
      <c r="G421">
        <v>208</v>
      </c>
      <c r="H421" s="3" t="s">
        <v>40</v>
      </c>
      <c r="I421" s="4">
        <f>igre_en[Play Time]/SQRT(igre_en[Max Players]*igre_en[Min Players])</f>
        <v>24.494897427831784</v>
      </c>
    </row>
    <row r="422" spans="1:9" x14ac:dyDescent="0.3">
      <c r="A422" s="3" t="s">
        <v>308</v>
      </c>
      <c r="B422">
        <v>2009</v>
      </c>
      <c r="C422">
        <v>2</v>
      </c>
      <c r="D422">
        <v>4</v>
      </c>
      <c r="E422">
        <v>60</v>
      </c>
      <c r="F422">
        <v>711</v>
      </c>
      <c r="G422">
        <v>212</v>
      </c>
      <c r="H422" s="3" t="s">
        <v>40</v>
      </c>
      <c r="I422" s="4">
        <f>igre_en[Play Time]/SQRT(igre_en[Max Players]*igre_en[Min Players])</f>
        <v>21.213203435596423</v>
      </c>
    </row>
    <row r="423" spans="1:9" x14ac:dyDescent="0.3">
      <c r="A423" s="3" t="s">
        <v>349</v>
      </c>
      <c r="B423">
        <v>2012</v>
      </c>
      <c r="C423">
        <v>2</v>
      </c>
      <c r="D423">
        <v>5</v>
      </c>
      <c r="E423">
        <v>45</v>
      </c>
      <c r="F423">
        <v>699</v>
      </c>
      <c r="G423">
        <v>175</v>
      </c>
      <c r="H423" s="3" t="s">
        <v>40</v>
      </c>
      <c r="I423" s="4">
        <f>igre_en[Play Time]/SQRT(igre_en[Max Players]*igre_en[Min Players])</f>
        <v>14.230249470757705</v>
      </c>
    </row>
    <row r="424" spans="1:9" x14ac:dyDescent="0.3">
      <c r="A424" s="3" t="s">
        <v>307</v>
      </c>
      <c r="B424">
        <v>1999</v>
      </c>
      <c r="C424">
        <v>2</v>
      </c>
      <c r="D424">
        <v>4</v>
      </c>
      <c r="E424">
        <v>60</v>
      </c>
      <c r="F424">
        <v>712</v>
      </c>
      <c r="G424">
        <v>287</v>
      </c>
      <c r="H424" s="3" t="s">
        <v>84</v>
      </c>
      <c r="I424" s="4">
        <f>igre_en[Play Time]/SQRT(igre_en[Max Players]*igre_en[Min Players])</f>
        <v>21.213203435596423</v>
      </c>
    </row>
    <row r="425" spans="1:9" x14ac:dyDescent="0.3">
      <c r="A425" s="3" t="s">
        <v>105</v>
      </c>
      <c r="B425">
        <v>2011</v>
      </c>
      <c r="C425">
        <v>2</v>
      </c>
      <c r="D425">
        <v>4</v>
      </c>
      <c r="E425">
        <v>120</v>
      </c>
      <c r="F425">
        <v>776</v>
      </c>
      <c r="G425">
        <v>365</v>
      </c>
      <c r="H425" s="3" t="s">
        <v>9</v>
      </c>
      <c r="I425" s="4">
        <f>igre_en[Play Time]/SQRT(igre_en[Max Players]*igre_en[Min Players])</f>
        <v>42.426406871192846</v>
      </c>
    </row>
    <row r="426" spans="1:9" x14ac:dyDescent="0.3">
      <c r="A426" s="3" t="s">
        <v>106</v>
      </c>
      <c r="B426">
        <v>2010</v>
      </c>
      <c r="C426">
        <v>2</v>
      </c>
      <c r="D426">
        <v>4</v>
      </c>
      <c r="E426">
        <v>90</v>
      </c>
      <c r="F426">
        <v>776</v>
      </c>
      <c r="G426">
        <v>346</v>
      </c>
      <c r="H426" s="3" t="s">
        <v>9</v>
      </c>
      <c r="I426" s="4">
        <f>igre_en[Play Time]/SQRT(igre_en[Max Players]*igre_en[Min Players])</f>
        <v>31.819805153394636</v>
      </c>
    </row>
    <row r="427" spans="1:9" x14ac:dyDescent="0.3">
      <c r="A427" s="3" t="s">
        <v>400</v>
      </c>
      <c r="B427">
        <v>2004</v>
      </c>
      <c r="C427">
        <v>2</v>
      </c>
      <c r="D427">
        <v>8</v>
      </c>
      <c r="E427">
        <v>20</v>
      </c>
      <c r="F427">
        <v>667</v>
      </c>
      <c r="G427">
        <v>124</v>
      </c>
      <c r="H427" s="3" t="s">
        <v>84</v>
      </c>
      <c r="I427" s="4">
        <f>igre_en[Play Time]/SQRT(igre_en[Max Players]*igre_en[Min Players])</f>
        <v>5</v>
      </c>
    </row>
    <row r="428" spans="1:9" x14ac:dyDescent="0.3">
      <c r="A428" s="3" t="s">
        <v>415</v>
      </c>
      <c r="B428">
        <v>2012</v>
      </c>
      <c r="C428">
        <v>2</v>
      </c>
      <c r="D428">
        <v>8</v>
      </c>
      <c r="E428">
        <v>40</v>
      </c>
      <c r="F428">
        <v>655</v>
      </c>
      <c r="G428">
        <v>142</v>
      </c>
      <c r="H428" s="3" t="s">
        <v>84</v>
      </c>
      <c r="I428" s="4">
        <f>igre_en[Play Time]/SQRT(igre_en[Max Players]*igre_en[Min Players])</f>
        <v>10</v>
      </c>
    </row>
    <row r="429" spans="1:9" x14ac:dyDescent="0.3">
      <c r="A429" s="3" t="s">
        <v>22</v>
      </c>
      <c r="B429">
        <v>2005</v>
      </c>
      <c r="C429">
        <v>2</v>
      </c>
      <c r="D429">
        <v>2</v>
      </c>
      <c r="E429">
        <v>180</v>
      </c>
      <c r="F429">
        <v>829</v>
      </c>
      <c r="G429">
        <v>359</v>
      </c>
      <c r="H429" s="3" t="s">
        <v>9</v>
      </c>
      <c r="I429" s="4">
        <f>igre_en[Play Time]/SQRT(igre_en[Max Players]*igre_en[Min Players])</f>
        <v>90</v>
      </c>
    </row>
    <row r="430" spans="1:9" x14ac:dyDescent="0.3">
      <c r="A430" s="3" t="s">
        <v>66</v>
      </c>
      <c r="B430">
        <v>2012</v>
      </c>
      <c r="C430">
        <v>2</v>
      </c>
      <c r="D430">
        <v>4</v>
      </c>
      <c r="E430">
        <v>90</v>
      </c>
      <c r="F430">
        <v>790</v>
      </c>
      <c r="G430">
        <v>367</v>
      </c>
      <c r="H430" s="3" t="s">
        <v>9</v>
      </c>
      <c r="I430" s="4">
        <f>igre_en[Play Time]/SQRT(igre_en[Max Players]*igre_en[Min Players])</f>
        <v>31.819805153394636</v>
      </c>
    </row>
    <row r="431" spans="1:9" x14ac:dyDescent="0.3">
      <c r="A431" s="3" t="s">
        <v>36</v>
      </c>
      <c r="B431">
        <v>2018</v>
      </c>
      <c r="C431">
        <v>1</v>
      </c>
      <c r="D431">
        <v>4</v>
      </c>
      <c r="E431">
        <v>150</v>
      </c>
      <c r="F431">
        <v>813</v>
      </c>
      <c r="G431">
        <v>358</v>
      </c>
      <c r="H431" s="3" t="s">
        <v>9</v>
      </c>
      <c r="I431" s="4">
        <f>igre_en[Play Time]/SQRT(igre_en[Max Players]*igre_en[Min Players])</f>
        <v>75</v>
      </c>
    </row>
    <row r="432" spans="1:9" x14ac:dyDescent="0.3">
      <c r="A432" s="3" t="s">
        <v>466</v>
      </c>
      <c r="B432">
        <v>1971</v>
      </c>
      <c r="C432">
        <v>2</v>
      </c>
      <c r="D432">
        <v>10</v>
      </c>
      <c r="E432">
        <v>30</v>
      </c>
      <c r="F432">
        <v>540</v>
      </c>
      <c r="G432">
        <v>112</v>
      </c>
      <c r="H432" s="3" t="s">
        <v>40</v>
      </c>
      <c r="I432" s="4">
        <f>igre_en[Play Time]/SQRT(igre_en[Max Players]*igre_en[Min Players])</f>
        <v>6.7082039324993685</v>
      </c>
    </row>
    <row r="433" spans="1:9" x14ac:dyDescent="0.3">
      <c r="A433" s="3" t="s">
        <v>431</v>
      </c>
      <c r="B433">
        <v>2017</v>
      </c>
      <c r="C433">
        <v>2</v>
      </c>
      <c r="D433">
        <v>8</v>
      </c>
      <c r="E433">
        <v>45</v>
      </c>
      <c r="F433">
        <v>631</v>
      </c>
      <c r="G433">
        <v>156</v>
      </c>
      <c r="H433" s="3" t="s">
        <v>95</v>
      </c>
      <c r="I433" s="4">
        <f>igre_en[Play Time]/SQRT(igre_en[Max Players]*igre_en[Min Players])</f>
        <v>11.25</v>
      </c>
    </row>
    <row r="434" spans="1:9" x14ac:dyDescent="0.3">
      <c r="A434" s="3" t="s">
        <v>288</v>
      </c>
      <c r="B434">
        <v>2016</v>
      </c>
      <c r="C434">
        <v>1</v>
      </c>
      <c r="D434">
        <v>5</v>
      </c>
      <c r="E434">
        <v>75</v>
      </c>
      <c r="F434">
        <v>717</v>
      </c>
      <c r="G434">
        <v>360</v>
      </c>
      <c r="H434" s="3" t="s">
        <v>9</v>
      </c>
      <c r="I434" s="4">
        <f>igre_en[Play Time]/SQRT(igre_en[Max Players]*igre_en[Min Players])</f>
        <v>33.541019662496844</v>
      </c>
    </row>
    <row r="435" spans="1:9" x14ac:dyDescent="0.3">
      <c r="A435" s="3" t="s">
        <v>170</v>
      </c>
      <c r="B435">
        <v>2011</v>
      </c>
      <c r="C435">
        <v>2</v>
      </c>
      <c r="D435">
        <v>4</v>
      </c>
      <c r="E435">
        <v>90</v>
      </c>
      <c r="F435">
        <v>753</v>
      </c>
      <c r="G435">
        <v>307</v>
      </c>
      <c r="H435" s="3" t="s">
        <v>9</v>
      </c>
      <c r="I435" s="4">
        <f>igre_en[Play Time]/SQRT(igre_en[Max Players]*igre_en[Min Players])</f>
        <v>31.819805153394636</v>
      </c>
    </row>
    <row r="436" spans="1:9" x14ac:dyDescent="0.3">
      <c r="A436" s="3" t="s">
        <v>47</v>
      </c>
      <c r="B436">
        <v>2015</v>
      </c>
      <c r="C436">
        <v>1</v>
      </c>
      <c r="D436">
        <v>6</v>
      </c>
      <c r="E436">
        <v>90</v>
      </c>
      <c r="F436">
        <v>808</v>
      </c>
      <c r="G436">
        <v>291</v>
      </c>
      <c r="H436" s="3" t="s">
        <v>9</v>
      </c>
      <c r="I436" s="4">
        <f>igre_en[Play Time]/SQRT(igre_en[Max Players]*igre_en[Min Players])</f>
        <v>36.742346141747674</v>
      </c>
    </row>
    <row r="437" spans="1:9" x14ac:dyDescent="0.3">
      <c r="A437" s="3" t="s">
        <v>101</v>
      </c>
      <c r="B437">
        <v>2004</v>
      </c>
      <c r="C437">
        <v>2</v>
      </c>
      <c r="D437">
        <v>4</v>
      </c>
      <c r="E437">
        <v>120</v>
      </c>
      <c r="F437">
        <v>777</v>
      </c>
      <c r="G437">
        <v>385</v>
      </c>
      <c r="H437" s="3" t="s">
        <v>12</v>
      </c>
      <c r="I437" s="4">
        <f>igre_en[Play Time]/SQRT(igre_en[Max Players]*igre_en[Min Players])</f>
        <v>42.426406871192846</v>
      </c>
    </row>
    <row r="438" spans="1:9" x14ac:dyDescent="0.3">
      <c r="A438" s="3" t="s">
        <v>407</v>
      </c>
      <c r="B438">
        <v>2013</v>
      </c>
      <c r="C438">
        <v>2</v>
      </c>
      <c r="D438">
        <v>4</v>
      </c>
      <c r="E438">
        <v>30</v>
      </c>
      <c r="F438">
        <v>660</v>
      </c>
      <c r="G438">
        <v>123</v>
      </c>
      <c r="H438" s="3" t="s">
        <v>40</v>
      </c>
      <c r="I438" s="4">
        <f>igre_en[Play Time]/SQRT(igre_en[Max Players]*igre_en[Min Players])</f>
        <v>10.606601717798211</v>
      </c>
    </row>
    <row r="439" spans="1:9" x14ac:dyDescent="0.3">
      <c r="A439" s="3" t="s">
        <v>141</v>
      </c>
      <c r="B439">
        <v>2018</v>
      </c>
      <c r="C439">
        <v>1</v>
      </c>
      <c r="D439">
        <v>100</v>
      </c>
      <c r="E439">
        <v>25</v>
      </c>
      <c r="F439">
        <v>761</v>
      </c>
      <c r="G439">
        <v>182</v>
      </c>
      <c r="H439" s="3" t="s">
        <v>40</v>
      </c>
      <c r="I439" s="4">
        <f>igre_en[Play Time]/SQRT(igre_en[Max Players]*igre_en[Min Players])</f>
        <v>2.5</v>
      </c>
    </row>
    <row r="440" spans="1:9" x14ac:dyDescent="0.3">
      <c r="A440" s="3" t="s">
        <v>126</v>
      </c>
      <c r="B440">
        <v>2018</v>
      </c>
      <c r="C440">
        <v>2</v>
      </c>
      <c r="D440">
        <v>6</v>
      </c>
      <c r="E440">
        <v>90</v>
      </c>
      <c r="F440">
        <v>766</v>
      </c>
      <c r="G440">
        <v>278</v>
      </c>
      <c r="H440" s="3" t="s">
        <v>12</v>
      </c>
      <c r="I440" s="4">
        <f>igre_en[Play Time]/SQRT(igre_en[Max Players]*igre_en[Min Players])</f>
        <v>25.98076211353316</v>
      </c>
    </row>
    <row r="441" spans="1:9" x14ac:dyDescent="0.3">
      <c r="A441" s="3" t="s">
        <v>39</v>
      </c>
      <c r="B441">
        <v>2019</v>
      </c>
      <c r="C441">
        <v>1</v>
      </c>
      <c r="D441">
        <v>5</v>
      </c>
      <c r="E441">
        <v>70</v>
      </c>
      <c r="F441">
        <v>811</v>
      </c>
      <c r="G441">
        <v>242</v>
      </c>
      <c r="H441" s="3" t="s">
        <v>40</v>
      </c>
      <c r="I441" s="4">
        <f>igre_en[Play Time]/SQRT(igre_en[Max Players]*igre_en[Min Players])</f>
        <v>31.304951684997054</v>
      </c>
    </row>
    <row r="442" spans="1:9" x14ac:dyDescent="0.3">
      <c r="A442" s="3" t="s">
        <v>363</v>
      </c>
      <c r="B442">
        <v>2005</v>
      </c>
      <c r="C442">
        <v>3</v>
      </c>
      <c r="D442">
        <v>7</v>
      </c>
      <c r="E442">
        <v>25</v>
      </c>
      <c r="F442">
        <v>693</v>
      </c>
      <c r="G442">
        <v>121</v>
      </c>
      <c r="H442" s="3" t="s">
        <v>95</v>
      </c>
      <c r="I442" s="4">
        <f>igre_en[Play Time]/SQRT(igre_en[Max Players]*igre_en[Min Players])</f>
        <v>5.4554472558998102</v>
      </c>
    </row>
    <row r="443" spans="1:9" x14ac:dyDescent="0.3">
      <c r="A443" s="3" t="s">
        <v>364</v>
      </c>
      <c r="B443">
        <v>1984</v>
      </c>
      <c r="C443">
        <v>3</v>
      </c>
      <c r="D443">
        <v>6</v>
      </c>
      <c r="E443">
        <v>45</v>
      </c>
      <c r="F443">
        <v>693</v>
      </c>
      <c r="G443">
        <v>173</v>
      </c>
      <c r="H443" s="3" t="s">
        <v>40</v>
      </c>
      <c r="I443" s="4">
        <f>igre_en[Play Time]/SQRT(igre_en[Max Players]*igre_en[Min Players])</f>
        <v>10.606601717798213</v>
      </c>
    </row>
    <row r="444" spans="1:9" x14ac:dyDescent="0.3">
      <c r="A444" s="3" t="s">
        <v>319</v>
      </c>
      <c r="B444">
        <v>2015</v>
      </c>
      <c r="C444">
        <v>1</v>
      </c>
      <c r="D444">
        <v>4</v>
      </c>
      <c r="E444">
        <v>120</v>
      </c>
      <c r="F444">
        <v>706</v>
      </c>
      <c r="G444">
        <v>290</v>
      </c>
      <c r="H444" s="3" t="s">
        <v>12</v>
      </c>
      <c r="I444" s="4">
        <f>igre_en[Play Time]/SQRT(igre_en[Max Players]*igre_en[Min Players])</f>
        <v>60</v>
      </c>
    </row>
    <row r="445" spans="1:9" x14ac:dyDescent="0.3">
      <c r="A445" s="3" t="s">
        <v>76</v>
      </c>
      <c r="B445">
        <v>2014</v>
      </c>
      <c r="C445">
        <v>3</v>
      </c>
      <c r="D445">
        <v>5</v>
      </c>
      <c r="E445">
        <v>180</v>
      </c>
      <c r="F445">
        <v>786</v>
      </c>
      <c r="G445">
        <v>317</v>
      </c>
      <c r="H445" s="3" t="s">
        <v>9</v>
      </c>
      <c r="I445" s="4">
        <f>igre_en[Play Time]/SQRT(igre_en[Max Players]*igre_en[Min Players])</f>
        <v>46.475800154489001</v>
      </c>
    </row>
    <row r="446" spans="1:9" x14ac:dyDescent="0.3">
      <c r="A446" s="3" t="s">
        <v>467</v>
      </c>
      <c r="B446">
        <v>1956</v>
      </c>
      <c r="C446">
        <v>2</v>
      </c>
      <c r="D446">
        <v>10</v>
      </c>
      <c r="E446">
        <v>30</v>
      </c>
      <c r="F446">
        <v>539</v>
      </c>
      <c r="G446">
        <v>119</v>
      </c>
      <c r="H446" s="3" t="s">
        <v>40</v>
      </c>
      <c r="I446" s="4">
        <f>igre_en[Play Time]/SQRT(igre_en[Max Players]*igre_en[Min Players])</f>
        <v>6.7082039324993685</v>
      </c>
    </row>
    <row r="447" spans="1:9" x14ac:dyDescent="0.3">
      <c r="A447" s="3" t="s">
        <v>80</v>
      </c>
      <c r="B447">
        <v>2016</v>
      </c>
      <c r="C447">
        <v>2</v>
      </c>
      <c r="D447">
        <v>4</v>
      </c>
      <c r="E447">
        <v>90</v>
      </c>
      <c r="F447">
        <v>785</v>
      </c>
      <c r="G447">
        <v>327</v>
      </c>
      <c r="H447" s="3" t="s">
        <v>9</v>
      </c>
      <c r="I447" s="4">
        <f>igre_en[Play Time]/SQRT(igre_en[Max Players]*igre_en[Min Players])</f>
        <v>31.819805153394636</v>
      </c>
    </row>
    <row r="448" spans="1:9" x14ac:dyDescent="0.3">
      <c r="A448" s="3" t="s">
        <v>290</v>
      </c>
      <c r="B448">
        <v>2012</v>
      </c>
      <c r="C448">
        <v>1</v>
      </c>
      <c r="D448">
        <v>6</v>
      </c>
      <c r="E448">
        <v>60</v>
      </c>
      <c r="F448">
        <v>716</v>
      </c>
      <c r="G448">
        <v>254</v>
      </c>
      <c r="H448" s="3" t="s">
        <v>12</v>
      </c>
      <c r="I448" s="4">
        <f>igre_en[Play Time]/SQRT(igre_en[Max Players]*igre_en[Min Players])</f>
        <v>24.494897427831784</v>
      </c>
    </row>
    <row r="449" spans="1:9" x14ac:dyDescent="0.3">
      <c r="A449" s="3" t="s">
        <v>121</v>
      </c>
      <c r="B449">
        <v>2015</v>
      </c>
      <c r="C449">
        <v>1</v>
      </c>
      <c r="D449">
        <v>6</v>
      </c>
      <c r="E449">
        <v>180</v>
      </c>
      <c r="F449">
        <v>768</v>
      </c>
      <c r="G449">
        <v>251</v>
      </c>
      <c r="H449" s="3" t="s">
        <v>12</v>
      </c>
      <c r="I449" s="4">
        <f>igre_en[Play Time]/SQRT(igre_en[Max Players]*igre_en[Min Players])</f>
        <v>73.484692283495349</v>
      </c>
    </row>
    <row r="450" spans="1:9" x14ac:dyDescent="0.3">
      <c r="A450" s="3" t="s">
        <v>438</v>
      </c>
      <c r="B450">
        <v>2010</v>
      </c>
      <c r="C450">
        <v>2</v>
      </c>
      <c r="D450">
        <v>99</v>
      </c>
      <c r="E450">
        <v>20</v>
      </c>
      <c r="F450">
        <v>621</v>
      </c>
      <c r="G450">
        <v>110</v>
      </c>
      <c r="H450" s="3" t="s">
        <v>95</v>
      </c>
      <c r="I450" s="4">
        <f>igre_en[Play Time]/SQRT(igre_en[Max Players]*igre_en[Min Players])</f>
        <v>1.4213381090374029</v>
      </c>
    </row>
    <row r="451" spans="1:9" x14ac:dyDescent="0.3">
      <c r="A451" s="3" t="s">
        <v>450</v>
      </c>
      <c r="B451">
        <v>2007</v>
      </c>
      <c r="C451">
        <v>2</v>
      </c>
      <c r="D451">
        <v>6</v>
      </c>
      <c r="E451">
        <v>40</v>
      </c>
      <c r="F451">
        <v>599</v>
      </c>
      <c r="G451">
        <v>144</v>
      </c>
      <c r="H451" s="3" t="s">
        <v>40</v>
      </c>
      <c r="I451" s="4">
        <f>igre_en[Play Time]/SQRT(igre_en[Max Players]*igre_en[Min Players])</f>
        <v>11.547005383792516</v>
      </c>
    </row>
    <row r="452" spans="1:9" x14ac:dyDescent="0.3">
      <c r="A452" s="3" t="s">
        <v>456</v>
      </c>
      <c r="B452">
        <v>2001</v>
      </c>
      <c r="C452">
        <v>2</v>
      </c>
      <c r="D452">
        <v>6</v>
      </c>
      <c r="E452">
        <v>90</v>
      </c>
      <c r="F452">
        <v>580</v>
      </c>
      <c r="G452">
        <v>161</v>
      </c>
      <c r="H452" s="3" t="s">
        <v>12</v>
      </c>
      <c r="I452" s="4">
        <f>igre_en[Play Time]/SQRT(igre_en[Max Players]*igre_en[Min Players])</f>
        <v>25.98076211353316</v>
      </c>
    </row>
    <row r="453" spans="1:9" x14ac:dyDescent="0.3">
      <c r="A453" s="3" t="s">
        <v>380</v>
      </c>
      <c r="B453">
        <v>2007</v>
      </c>
      <c r="C453">
        <v>2</v>
      </c>
      <c r="D453">
        <v>5</v>
      </c>
      <c r="E453">
        <v>45</v>
      </c>
      <c r="F453">
        <v>683</v>
      </c>
      <c r="G453">
        <v>186</v>
      </c>
      <c r="H453" s="3" t="s">
        <v>40</v>
      </c>
      <c r="I453" s="4">
        <f>igre_en[Play Time]/SQRT(igre_en[Max Players]*igre_en[Min Players])</f>
        <v>14.230249470757705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87DD-BADB-4E2F-B40C-E46FFE8D1A5D}">
  <dimension ref="A1:H45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2020</v>
      </c>
      <c r="C2">
        <v>1</v>
      </c>
      <c r="D2">
        <v>4</v>
      </c>
      <c r="E2">
        <v>120</v>
      </c>
      <c r="F2" s="1">
        <v>31990</v>
      </c>
      <c r="G2" s="1">
        <v>20149</v>
      </c>
      <c r="H2" t="s">
        <v>9</v>
      </c>
    </row>
    <row r="3" spans="1:8" x14ac:dyDescent="0.3">
      <c r="A3" t="s">
        <v>10</v>
      </c>
      <c r="B3">
        <v>2017</v>
      </c>
      <c r="C3">
        <v>1</v>
      </c>
      <c r="D3">
        <v>4</v>
      </c>
      <c r="E3">
        <v>120</v>
      </c>
      <c r="F3" s="1">
        <v>29068</v>
      </c>
      <c r="G3" s="1">
        <v>31472</v>
      </c>
      <c r="H3" t="s">
        <v>9</v>
      </c>
    </row>
    <row r="4" spans="1:8" x14ac:dyDescent="0.3">
      <c r="A4" t="s">
        <v>11</v>
      </c>
      <c r="B4">
        <v>2015</v>
      </c>
      <c r="C4">
        <v>1</v>
      </c>
      <c r="D4">
        <v>4</v>
      </c>
      <c r="E4">
        <v>180</v>
      </c>
      <c r="F4" s="1">
        <v>24320</v>
      </c>
      <c r="G4" s="1">
        <v>45748</v>
      </c>
      <c r="H4" t="s">
        <v>12</v>
      </c>
    </row>
    <row r="5" spans="1:8" x14ac:dyDescent="0.3">
      <c r="A5" t="s">
        <v>13</v>
      </c>
      <c r="B5">
        <v>2018</v>
      </c>
      <c r="C5">
        <v>2</v>
      </c>
      <c r="D5">
        <v>4</v>
      </c>
      <c r="E5">
        <v>120</v>
      </c>
      <c r="F5" s="1">
        <v>24320</v>
      </c>
      <c r="G5" s="1">
        <v>33298</v>
      </c>
      <c r="H5" t="s">
        <v>9</v>
      </c>
    </row>
    <row r="6" spans="1:8" x14ac:dyDescent="0.3">
      <c r="A6" t="s">
        <v>14</v>
      </c>
      <c r="B6">
        <v>2015</v>
      </c>
      <c r="C6">
        <v>2</v>
      </c>
      <c r="D6">
        <v>4</v>
      </c>
      <c r="E6">
        <v>60</v>
      </c>
      <c r="F6" s="1">
        <v>22494</v>
      </c>
      <c r="G6" s="1">
        <v>30713</v>
      </c>
      <c r="H6" t="s">
        <v>9</v>
      </c>
    </row>
    <row r="7" spans="1:8" x14ac:dyDescent="0.3">
      <c r="A7" t="s">
        <v>15</v>
      </c>
      <c r="B7">
        <v>2017</v>
      </c>
      <c r="C7">
        <v>1</v>
      </c>
      <c r="D7">
        <v>4</v>
      </c>
      <c r="E7">
        <v>150</v>
      </c>
      <c r="F7" s="1">
        <v>54636</v>
      </c>
      <c r="G7" s="1">
        <v>49400</v>
      </c>
      <c r="H7" t="s">
        <v>9</v>
      </c>
    </row>
    <row r="8" spans="1:8" x14ac:dyDescent="0.3">
      <c r="A8" t="s">
        <v>16</v>
      </c>
      <c r="B8">
        <v>2016</v>
      </c>
      <c r="C8">
        <v>1</v>
      </c>
      <c r="D8">
        <v>5</v>
      </c>
      <c r="E8">
        <v>120</v>
      </c>
      <c r="F8" s="1">
        <v>52444</v>
      </c>
      <c r="G8" s="1">
        <v>45352</v>
      </c>
      <c r="H8" t="s">
        <v>9</v>
      </c>
    </row>
    <row r="9" spans="1:8" x14ac:dyDescent="0.3">
      <c r="A9" t="s">
        <v>17</v>
      </c>
      <c r="B9">
        <v>2016</v>
      </c>
      <c r="C9">
        <v>2</v>
      </c>
      <c r="D9">
        <v>4</v>
      </c>
      <c r="E9">
        <v>240</v>
      </c>
      <c r="F9" s="1">
        <v>52079</v>
      </c>
      <c r="G9" s="1">
        <v>25993</v>
      </c>
      <c r="H9" t="s">
        <v>12</v>
      </c>
    </row>
    <row r="10" spans="1:8" x14ac:dyDescent="0.3">
      <c r="A10" t="s">
        <v>18</v>
      </c>
      <c r="B10">
        <v>2018</v>
      </c>
      <c r="C10">
        <v>1</v>
      </c>
      <c r="D10">
        <v>5</v>
      </c>
      <c r="E10">
        <v>180</v>
      </c>
      <c r="F10" s="1">
        <v>51349</v>
      </c>
      <c r="G10" s="1">
        <v>49369</v>
      </c>
      <c r="H10" t="s">
        <v>12</v>
      </c>
    </row>
    <row r="11" spans="1:8" x14ac:dyDescent="0.3">
      <c r="A11" t="s">
        <v>19</v>
      </c>
      <c r="B11">
        <v>2017</v>
      </c>
      <c r="C11">
        <v>1</v>
      </c>
      <c r="D11">
        <v>4</v>
      </c>
      <c r="E11">
        <v>120</v>
      </c>
      <c r="F11" s="1">
        <v>49522</v>
      </c>
      <c r="G11" s="2">
        <v>46026</v>
      </c>
      <c r="H11" t="s">
        <v>9</v>
      </c>
    </row>
    <row r="12" spans="1:8" x14ac:dyDescent="0.3">
      <c r="A12" t="s">
        <v>20</v>
      </c>
      <c r="B12">
        <v>2016</v>
      </c>
      <c r="C12">
        <v>2</v>
      </c>
      <c r="D12">
        <v>4</v>
      </c>
      <c r="E12">
        <v>150</v>
      </c>
      <c r="F12" s="1">
        <v>47696</v>
      </c>
      <c r="G12" s="1">
        <v>25993</v>
      </c>
      <c r="H12" t="s">
        <v>9</v>
      </c>
    </row>
    <row r="13" spans="1:8" x14ac:dyDescent="0.3">
      <c r="A13" t="s">
        <v>21</v>
      </c>
      <c r="B13">
        <v>2020</v>
      </c>
      <c r="C13">
        <v>1</v>
      </c>
      <c r="D13">
        <v>4</v>
      </c>
      <c r="E13">
        <v>150</v>
      </c>
      <c r="F13" s="1">
        <v>47696</v>
      </c>
      <c r="G13" s="1">
        <v>23102</v>
      </c>
      <c r="H13" t="s">
        <v>9</v>
      </c>
    </row>
    <row r="14" spans="1:8" x14ac:dyDescent="0.3">
      <c r="A14" t="s">
        <v>22</v>
      </c>
      <c r="B14">
        <v>2005</v>
      </c>
      <c r="C14">
        <v>2</v>
      </c>
      <c r="D14">
        <v>2</v>
      </c>
      <c r="E14">
        <v>180</v>
      </c>
      <c r="F14" s="1">
        <v>47331</v>
      </c>
      <c r="G14" s="1">
        <v>21610</v>
      </c>
      <c r="H14" t="s">
        <v>9</v>
      </c>
    </row>
    <row r="15" spans="1:8" x14ac:dyDescent="0.3">
      <c r="A15" t="s">
        <v>23</v>
      </c>
      <c r="B15">
        <v>2019</v>
      </c>
      <c r="C15">
        <v>1</v>
      </c>
      <c r="D15">
        <v>4</v>
      </c>
      <c r="E15">
        <v>120</v>
      </c>
      <c r="F15" s="1">
        <v>47331</v>
      </c>
      <c r="G15" s="1">
        <v>31837</v>
      </c>
      <c r="H15" t="s">
        <v>9</v>
      </c>
    </row>
    <row r="16" spans="1:8" x14ac:dyDescent="0.3">
      <c r="A16" t="s">
        <v>24</v>
      </c>
      <c r="B16">
        <v>2016</v>
      </c>
      <c r="C16">
        <v>1</v>
      </c>
      <c r="D16">
        <v>5</v>
      </c>
      <c r="E16">
        <v>115</v>
      </c>
      <c r="F16" s="1">
        <v>45505</v>
      </c>
      <c r="G16" s="1">
        <v>51561</v>
      </c>
      <c r="H16" t="s">
        <v>9</v>
      </c>
    </row>
    <row r="17" spans="1:8" x14ac:dyDescent="0.3">
      <c r="A17" t="s">
        <v>25</v>
      </c>
      <c r="B17">
        <v>2016</v>
      </c>
      <c r="C17">
        <v>1</v>
      </c>
      <c r="D17">
        <v>4</v>
      </c>
      <c r="E17">
        <v>120</v>
      </c>
      <c r="F17" s="1">
        <v>44044</v>
      </c>
      <c r="G17" s="1">
        <v>30742</v>
      </c>
      <c r="H17" t="s">
        <v>9</v>
      </c>
    </row>
    <row r="18" spans="1:8" x14ac:dyDescent="0.3">
      <c r="A18" t="s">
        <v>26</v>
      </c>
      <c r="B18">
        <v>2017</v>
      </c>
      <c r="C18">
        <v>1</v>
      </c>
      <c r="D18">
        <v>4</v>
      </c>
      <c r="E18">
        <v>120</v>
      </c>
      <c r="F18" s="1">
        <v>43313</v>
      </c>
      <c r="G18" s="1">
        <v>20911</v>
      </c>
      <c r="H18" t="s">
        <v>9</v>
      </c>
    </row>
    <row r="19" spans="1:8" x14ac:dyDescent="0.3">
      <c r="A19" t="s">
        <v>27</v>
      </c>
      <c r="B19">
        <v>2016</v>
      </c>
      <c r="C19">
        <v>1</v>
      </c>
      <c r="D19">
        <v>2</v>
      </c>
      <c r="E19">
        <v>120</v>
      </c>
      <c r="F19" s="1">
        <v>42948</v>
      </c>
      <c r="G19" s="1">
        <v>52657</v>
      </c>
      <c r="H19" t="s">
        <v>28</v>
      </c>
    </row>
    <row r="20" spans="1:8" x14ac:dyDescent="0.3">
      <c r="A20" t="s">
        <v>29</v>
      </c>
      <c r="B20">
        <v>2007</v>
      </c>
      <c r="C20">
        <v>2</v>
      </c>
      <c r="D20">
        <v>4</v>
      </c>
      <c r="E20">
        <v>120</v>
      </c>
      <c r="F20" s="1">
        <v>42948</v>
      </c>
      <c r="G20" s="1">
        <v>31472</v>
      </c>
      <c r="H20" t="s">
        <v>9</v>
      </c>
    </row>
    <row r="21" spans="1:8" x14ac:dyDescent="0.3">
      <c r="A21" t="s">
        <v>30</v>
      </c>
      <c r="B21">
        <v>2017</v>
      </c>
      <c r="C21">
        <v>2</v>
      </c>
      <c r="D21">
        <v>4</v>
      </c>
      <c r="E21">
        <v>60</v>
      </c>
      <c r="F21" s="1">
        <v>42217</v>
      </c>
      <c r="G21" s="1">
        <v>45717</v>
      </c>
      <c r="H21" t="s">
        <v>9</v>
      </c>
    </row>
    <row r="22" spans="1:8" x14ac:dyDescent="0.3">
      <c r="A22" t="s">
        <v>31</v>
      </c>
      <c r="B22">
        <v>2017</v>
      </c>
      <c r="C22">
        <v>1</v>
      </c>
      <c r="D22">
        <v>4</v>
      </c>
      <c r="E22">
        <v>1000</v>
      </c>
      <c r="F22" s="1">
        <v>42217</v>
      </c>
      <c r="G22" s="1">
        <v>31809</v>
      </c>
      <c r="H22" t="s">
        <v>12</v>
      </c>
    </row>
    <row r="23" spans="1:8" x14ac:dyDescent="0.3">
      <c r="A23" t="s">
        <v>32</v>
      </c>
      <c r="B23">
        <v>2015</v>
      </c>
      <c r="C23">
        <v>2</v>
      </c>
      <c r="D23">
        <v>5</v>
      </c>
      <c r="E23">
        <v>240</v>
      </c>
      <c r="F23" s="1">
        <v>41852</v>
      </c>
      <c r="G23" s="1">
        <v>43922</v>
      </c>
      <c r="H23" t="s">
        <v>9</v>
      </c>
    </row>
    <row r="24" spans="1:8" x14ac:dyDescent="0.3">
      <c r="A24" t="s">
        <v>33</v>
      </c>
      <c r="B24">
        <v>2012</v>
      </c>
      <c r="C24">
        <v>2</v>
      </c>
      <c r="D24">
        <v>5</v>
      </c>
      <c r="E24">
        <v>150</v>
      </c>
      <c r="F24" s="1">
        <v>41852</v>
      </c>
      <c r="G24" s="1">
        <v>35125</v>
      </c>
      <c r="H24" t="s">
        <v>9</v>
      </c>
    </row>
    <row r="25" spans="1:8" x14ac:dyDescent="0.3">
      <c r="A25" t="s">
        <v>34</v>
      </c>
      <c r="B25">
        <v>2011</v>
      </c>
      <c r="C25">
        <v>2</v>
      </c>
      <c r="D25">
        <v>4</v>
      </c>
      <c r="E25">
        <v>90</v>
      </c>
      <c r="F25" s="1">
        <v>41487</v>
      </c>
      <c r="G25" t="s">
        <v>35</v>
      </c>
      <c r="H25" t="s">
        <v>9</v>
      </c>
    </row>
    <row r="26" spans="1:8" x14ac:dyDescent="0.3">
      <c r="A26" t="s">
        <v>36</v>
      </c>
      <c r="B26">
        <v>2018</v>
      </c>
      <c r="C26">
        <v>1</v>
      </c>
      <c r="D26">
        <v>4</v>
      </c>
      <c r="E26">
        <v>150</v>
      </c>
      <c r="F26" s="1">
        <v>41487</v>
      </c>
      <c r="G26" s="1">
        <v>21245</v>
      </c>
      <c r="H26" t="s">
        <v>9</v>
      </c>
    </row>
    <row r="27" spans="1:8" x14ac:dyDescent="0.3">
      <c r="A27" t="s">
        <v>37</v>
      </c>
      <c r="B27">
        <v>2013</v>
      </c>
      <c r="C27">
        <v>2</v>
      </c>
      <c r="D27">
        <v>5</v>
      </c>
      <c r="E27">
        <v>100</v>
      </c>
      <c r="F27" s="2">
        <v>46364</v>
      </c>
      <c r="G27" s="2">
        <v>46084</v>
      </c>
      <c r="H27" t="s">
        <v>9</v>
      </c>
    </row>
    <row r="28" spans="1:8" x14ac:dyDescent="0.3">
      <c r="A28" t="s">
        <v>38</v>
      </c>
      <c r="B28">
        <v>2015</v>
      </c>
      <c r="C28">
        <v>2</v>
      </c>
      <c r="D28">
        <v>2</v>
      </c>
      <c r="E28">
        <v>30</v>
      </c>
      <c r="F28" s="2">
        <v>46334</v>
      </c>
      <c r="G28" s="1">
        <v>44958</v>
      </c>
      <c r="H28" t="s">
        <v>9</v>
      </c>
    </row>
    <row r="29" spans="1:8" x14ac:dyDescent="0.3">
      <c r="A29" t="s">
        <v>39</v>
      </c>
      <c r="B29">
        <v>2019</v>
      </c>
      <c r="C29">
        <v>1</v>
      </c>
      <c r="D29">
        <v>5</v>
      </c>
      <c r="E29">
        <v>70</v>
      </c>
      <c r="F29" s="2">
        <v>46334</v>
      </c>
      <c r="G29" s="1">
        <v>51898</v>
      </c>
      <c r="H29" t="s">
        <v>40</v>
      </c>
    </row>
    <row r="30" spans="1:8" x14ac:dyDescent="0.3">
      <c r="A30" t="s">
        <v>41</v>
      </c>
      <c r="B30">
        <v>2011</v>
      </c>
      <c r="C30">
        <v>1</v>
      </c>
      <c r="D30">
        <v>4</v>
      </c>
      <c r="E30">
        <v>240</v>
      </c>
      <c r="F30" s="2">
        <v>46303</v>
      </c>
      <c r="G30" s="1">
        <v>47939</v>
      </c>
      <c r="H30" t="s">
        <v>9</v>
      </c>
    </row>
    <row r="31" spans="1:8" x14ac:dyDescent="0.3">
      <c r="A31" t="s">
        <v>42</v>
      </c>
      <c r="B31">
        <v>2017</v>
      </c>
      <c r="C31">
        <v>1</v>
      </c>
      <c r="D31">
        <v>4</v>
      </c>
      <c r="E31">
        <v>120</v>
      </c>
      <c r="F31" s="2">
        <v>46303</v>
      </c>
      <c r="G31" t="s">
        <v>43</v>
      </c>
      <c r="H31" t="s">
        <v>9</v>
      </c>
    </row>
    <row r="32" spans="1:8" x14ac:dyDescent="0.3">
      <c r="A32" t="s">
        <v>44</v>
      </c>
      <c r="B32">
        <v>2018</v>
      </c>
      <c r="C32">
        <v>2</v>
      </c>
      <c r="D32">
        <v>4</v>
      </c>
      <c r="E32">
        <v>90</v>
      </c>
      <c r="F32" s="2">
        <v>46303</v>
      </c>
      <c r="G32" s="1">
        <v>24532</v>
      </c>
      <c r="H32" t="s">
        <v>9</v>
      </c>
    </row>
    <row r="33" spans="1:8" x14ac:dyDescent="0.3">
      <c r="A33" t="s">
        <v>45</v>
      </c>
      <c r="B33">
        <v>2014</v>
      </c>
      <c r="C33">
        <v>1</v>
      </c>
      <c r="D33">
        <v>2</v>
      </c>
      <c r="E33">
        <v>120</v>
      </c>
      <c r="F33" s="2">
        <v>46273</v>
      </c>
      <c r="G33" s="1">
        <v>32203</v>
      </c>
      <c r="H33" t="s">
        <v>9</v>
      </c>
    </row>
    <row r="34" spans="1:8" x14ac:dyDescent="0.3">
      <c r="A34" t="s">
        <v>46</v>
      </c>
      <c r="B34">
        <v>2014</v>
      </c>
      <c r="C34">
        <v>2</v>
      </c>
      <c r="D34">
        <v>4</v>
      </c>
      <c r="E34">
        <v>90</v>
      </c>
      <c r="F34" s="2">
        <v>46273</v>
      </c>
      <c r="G34" s="2">
        <v>46145</v>
      </c>
      <c r="H34" t="s">
        <v>9</v>
      </c>
    </row>
    <row r="35" spans="1:8" x14ac:dyDescent="0.3">
      <c r="A35" t="s">
        <v>47</v>
      </c>
      <c r="B35">
        <v>2015</v>
      </c>
      <c r="C35">
        <v>1</v>
      </c>
      <c r="D35">
        <v>6</v>
      </c>
      <c r="E35">
        <v>90</v>
      </c>
      <c r="F35" s="2">
        <v>46242</v>
      </c>
      <c r="G35" s="1">
        <v>33270</v>
      </c>
      <c r="H35" t="s">
        <v>9</v>
      </c>
    </row>
    <row r="36" spans="1:8" x14ac:dyDescent="0.3">
      <c r="A36" t="s">
        <v>48</v>
      </c>
      <c r="B36">
        <v>2018</v>
      </c>
      <c r="C36">
        <v>1</v>
      </c>
      <c r="D36">
        <v>4</v>
      </c>
      <c r="E36">
        <v>80</v>
      </c>
      <c r="F36" s="2">
        <v>46242</v>
      </c>
      <c r="G36" s="1">
        <v>29618</v>
      </c>
      <c r="H36" t="s">
        <v>40</v>
      </c>
    </row>
    <row r="37" spans="1:8" x14ac:dyDescent="0.3">
      <c r="A37" t="s">
        <v>49</v>
      </c>
      <c r="B37">
        <v>2019</v>
      </c>
      <c r="C37">
        <v>1</v>
      </c>
      <c r="D37">
        <v>4</v>
      </c>
      <c r="E37">
        <v>120</v>
      </c>
      <c r="F37" s="2">
        <v>46211</v>
      </c>
      <c r="G37" s="1">
        <v>24532</v>
      </c>
      <c r="H37" t="s">
        <v>9</v>
      </c>
    </row>
    <row r="38" spans="1:8" x14ac:dyDescent="0.3">
      <c r="A38" t="s">
        <v>50</v>
      </c>
      <c r="B38">
        <v>2016</v>
      </c>
      <c r="C38">
        <v>2</v>
      </c>
      <c r="D38">
        <v>4</v>
      </c>
      <c r="E38">
        <v>120</v>
      </c>
      <c r="F38" s="2">
        <v>46150</v>
      </c>
      <c r="G38" s="1">
        <v>51533</v>
      </c>
      <c r="H38" t="s">
        <v>9</v>
      </c>
    </row>
    <row r="39" spans="1:8" x14ac:dyDescent="0.3">
      <c r="A39" t="s">
        <v>51</v>
      </c>
      <c r="B39">
        <v>2016</v>
      </c>
      <c r="C39">
        <v>1</v>
      </c>
      <c r="D39">
        <v>4</v>
      </c>
      <c r="E39">
        <v>120</v>
      </c>
      <c r="F39" s="2">
        <v>46120</v>
      </c>
      <c r="G39" s="1">
        <v>18323</v>
      </c>
      <c r="H39" t="s">
        <v>9</v>
      </c>
    </row>
    <row r="40" spans="1:8" x14ac:dyDescent="0.3">
      <c r="A40" t="s">
        <v>52</v>
      </c>
      <c r="B40">
        <v>2019</v>
      </c>
      <c r="C40">
        <v>1</v>
      </c>
      <c r="D40">
        <v>4</v>
      </c>
      <c r="E40">
        <v>90</v>
      </c>
      <c r="F40" s="2">
        <v>46120</v>
      </c>
      <c r="G40" s="1">
        <v>48245</v>
      </c>
      <c r="H40" t="s">
        <v>40</v>
      </c>
    </row>
    <row r="41" spans="1:8" x14ac:dyDescent="0.3">
      <c r="A41" t="s">
        <v>53</v>
      </c>
      <c r="B41">
        <v>2015</v>
      </c>
      <c r="C41">
        <v>1</v>
      </c>
      <c r="D41">
        <v>4</v>
      </c>
      <c r="E41">
        <v>150</v>
      </c>
      <c r="F41" s="2">
        <v>46120</v>
      </c>
      <c r="G41" s="1">
        <v>46844</v>
      </c>
      <c r="H41" t="s">
        <v>9</v>
      </c>
    </row>
    <row r="42" spans="1:8" x14ac:dyDescent="0.3">
      <c r="A42" t="s">
        <v>54</v>
      </c>
      <c r="B42">
        <v>2014</v>
      </c>
      <c r="C42">
        <v>1</v>
      </c>
      <c r="D42">
        <v>5</v>
      </c>
      <c r="E42">
        <v>120</v>
      </c>
      <c r="F42" s="2">
        <v>46061</v>
      </c>
      <c r="G42" s="1">
        <v>47543</v>
      </c>
      <c r="H42" t="s">
        <v>12</v>
      </c>
    </row>
    <row r="43" spans="1:8" x14ac:dyDescent="0.3">
      <c r="A43" t="s">
        <v>55</v>
      </c>
      <c r="B43">
        <v>2013</v>
      </c>
      <c r="C43">
        <v>1</v>
      </c>
      <c r="D43">
        <v>7</v>
      </c>
      <c r="E43">
        <v>210</v>
      </c>
      <c r="F43" s="2">
        <v>46061</v>
      </c>
      <c r="G43" s="1">
        <v>28915</v>
      </c>
      <c r="H43" t="s">
        <v>9</v>
      </c>
    </row>
    <row r="44" spans="1:8" x14ac:dyDescent="0.3">
      <c r="A44" t="s">
        <v>56</v>
      </c>
      <c r="B44">
        <v>2016</v>
      </c>
      <c r="C44">
        <v>1</v>
      </c>
      <c r="D44">
        <v>4</v>
      </c>
      <c r="E44">
        <v>60</v>
      </c>
      <c r="F44" s="2">
        <v>46061</v>
      </c>
      <c r="G44" s="1">
        <v>27791</v>
      </c>
      <c r="H44" t="s">
        <v>9</v>
      </c>
    </row>
    <row r="45" spans="1:8" x14ac:dyDescent="0.3">
      <c r="A45" t="s">
        <v>57</v>
      </c>
      <c r="B45">
        <v>2017</v>
      </c>
      <c r="C45">
        <v>1</v>
      </c>
      <c r="D45">
        <v>4</v>
      </c>
      <c r="E45">
        <v>120</v>
      </c>
      <c r="F45" s="2">
        <v>46030</v>
      </c>
      <c r="G45" s="1">
        <v>53387</v>
      </c>
      <c r="H45" t="s">
        <v>9</v>
      </c>
    </row>
    <row r="46" spans="1:8" x14ac:dyDescent="0.3">
      <c r="A46" t="s">
        <v>58</v>
      </c>
      <c r="B46">
        <v>2015</v>
      </c>
      <c r="C46">
        <v>2</v>
      </c>
      <c r="D46">
        <v>4</v>
      </c>
      <c r="E46">
        <v>90</v>
      </c>
      <c r="F46" t="s">
        <v>59</v>
      </c>
      <c r="G46" s="1">
        <v>32174</v>
      </c>
      <c r="H46" t="s">
        <v>9</v>
      </c>
    </row>
    <row r="47" spans="1:8" x14ac:dyDescent="0.3">
      <c r="A47" t="s">
        <v>60</v>
      </c>
      <c r="B47">
        <v>2002</v>
      </c>
      <c r="C47">
        <v>3</v>
      </c>
      <c r="D47">
        <v>5</v>
      </c>
      <c r="E47">
        <v>150</v>
      </c>
      <c r="F47" s="1">
        <v>36342</v>
      </c>
      <c r="G47" s="1">
        <v>46813</v>
      </c>
      <c r="H47" t="s">
        <v>9</v>
      </c>
    </row>
    <row r="48" spans="1:8" x14ac:dyDescent="0.3">
      <c r="A48" t="s">
        <v>61</v>
      </c>
      <c r="B48">
        <v>2015</v>
      </c>
      <c r="C48">
        <v>2</v>
      </c>
      <c r="D48">
        <v>4</v>
      </c>
      <c r="E48">
        <v>180</v>
      </c>
      <c r="F48" s="1">
        <v>35612</v>
      </c>
      <c r="G48" s="1">
        <v>30376</v>
      </c>
      <c r="H48" t="s">
        <v>9</v>
      </c>
    </row>
    <row r="49" spans="1:8" x14ac:dyDescent="0.3">
      <c r="A49" t="s">
        <v>62</v>
      </c>
      <c r="B49">
        <v>2018</v>
      </c>
      <c r="C49">
        <v>1</v>
      </c>
      <c r="D49">
        <v>4</v>
      </c>
      <c r="E49">
        <v>120</v>
      </c>
      <c r="F49" s="1">
        <v>34881</v>
      </c>
      <c r="G49" s="1">
        <v>28185</v>
      </c>
      <c r="H49" t="s">
        <v>9</v>
      </c>
    </row>
    <row r="50" spans="1:8" x14ac:dyDescent="0.3">
      <c r="A50" t="s">
        <v>63</v>
      </c>
      <c r="B50">
        <v>2007</v>
      </c>
      <c r="C50">
        <v>1</v>
      </c>
      <c r="D50">
        <v>5</v>
      </c>
      <c r="E50">
        <v>150</v>
      </c>
      <c r="F50" s="1">
        <v>34516</v>
      </c>
      <c r="G50" s="1">
        <v>23437</v>
      </c>
      <c r="H50" t="s">
        <v>9</v>
      </c>
    </row>
    <row r="51" spans="1:8" x14ac:dyDescent="0.3">
      <c r="A51" t="s">
        <v>64</v>
      </c>
      <c r="B51">
        <v>2016</v>
      </c>
      <c r="C51">
        <v>2</v>
      </c>
      <c r="D51">
        <v>5</v>
      </c>
      <c r="E51">
        <v>45</v>
      </c>
      <c r="F51" s="1">
        <v>33786</v>
      </c>
      <c r="G51" s="1">
        <v>21217</v>
      </c>
      <c r="H51" t="s">
        <v>9</v>
      </c>
    </row>
    <row r="52" spans="1:8" x14ac:dyDescent="0.3">
      <c r="A52" t="s">
        <v>65</v>
      </c>
      <c r="B52">
        <v>1876</v>
      </c>
      <c r="C52">
        <v>2</v>
      </c>
      <c r="D52">
        <v>4</v>
      </c>
      <c r="E52">
        <v>30</v>
      </c>
      <c r="F52" s="1">
        <v>33420</v>
      </c>
      <c r="G52" s="1">
        <v>45658</v>
      </c>
      <c r="H52" t="s">
        <v>40</v>
      </c>
    </row>
    <row r="53" spans="1:8" x14ac:dyDescent="0.3">
      <c r="A53" t="s">
        <v>66</v>
      </c>
      <c r="B53">
        <v>2012</v>
      </c>
      <c r="C53">
        <v>2</v>
      </c>
      <c r="D53">
        <v>4</v>
      </c>
      <c r="E53">
        <v>90</v>
      </c>
      <c r="F53" s="1">
        <v>33055</v>
      </c>
      <c r="G53" s="1">
        <v>24532</v>
      </c>
      <c r="H53" t="s">
        <v>9</v>
      </c>
    </row>
    <row r="54" spans="1:8" x14ac:dyDescent="0.3">
      <c r="A54" t="s">
        <v>67</v>
      </c>
      <c r="B54">
        <v>2016</v>
      </c>
      <c r="C54">
        <v>2</v>
      </c>
      <c r="D54">
        <v>4</v>
      </c>
      <c r="E54">
        <v>120</v>
      </c>
      <c r="F54" s="1">
        <v>32690</v>
      </c>
      <c r="G54" s="1">
        <v>46813</v>
      </c>
      <c r="H54" t="s">
        <v>9</v>
      </c>
    </row>
    <row r="55" spans="1:8" x14ac:dyDescent="0.3">
      <c r="A55" t="s">
        <v>68</v>
      </c>
      <c r="B55">
        <v>2011</v>
      </c>
      <c r="C55">
        <v>2</v>
      </c>
      <c r="D55">
        <v>6</v>
      </c>
      <c r="E55">
        <v>180</v>
      </c>
      <c r="F55" s="1">
        <v>32690</v>
      </c>
      <c r="G55" s="1">
        <v>25628</v>
      </c>
      <c r="H55" t="s">
        <v>9</v>
      </c>
    </row>
    <row r="56" spans="1:8" x14ac:dyDescent="0.3">
      <c r="A56" t="s">
        <v>69</v>
      </c>
      <c r="B56">
        <v>2019</v>
      </c>
      <c r="C56">
        <v>1</v>
      </c>
      <c r="D56">
        <v>5</v>
      </c>
      <c r="E56">
        <v>60</v>
      </c>
      <c r="F56" s="1">
        <v>32690</v>
      </c>
      <c r="G56" s="1">
        <v>42767</v>
      </c>
      <c r="H56" t="s">
        <v>40</v>
      </c>
    </row>
    <row r="57" spans="1:8" x14ac:dyDescent="0.3">
      <c r="A57" t="s">
        <v>70</v>
      </c>
      <c r="B57">
        <v>2018</v>
      </c>
      <c r="C57">
        <v>3</v>
      </c>
      <c r="D57">
        <v>5</v>
      </c>
      <c r="E57">
        <v>120</v>
      </c>
      <c r="F57" s="1">
        <v>32325</v>
      </c>
      <c r="G57" s="1">
        <v>46813</v>
      </c>
      <c r="H57" t="s">
        <v>9</v>
      </c>
    </row>
    <row r="58" spans="1:8" x14ac:dyDescent="0.3">
      <c r="A58" t="s">
        <v>71</v>
      </c>
      <c r="B58">
        <v>2015</v>
      </c>
      <c r="C58">
        <v>2</v>
      </c>
      <c r="D58">
        <v>4</v>
      </c>
      <c r="E58">
        <v>150</v>
      </c>
      <c r="F58" s="1">
        <v>32325</v>
      </c>
      <c r="G58" s="1">
        <v>32933</v>
      </c>
      <c r="H58" t="s">
        <v>9</v>
      </c>
    </row>
    <row r="59" spans="1:8" x14ac:dyDescent="0.3">
      <c r="A59" t="s">
        <v>72</v>
      </c>
      <c r="B59">
        <v>2015</v>
      </c>
      <c r="C59">
        <v>2</v>
      </c>
      <c r="D59">
        <v>4</v>
      </c>
      <c r="E59">
        <v>100</v>
      </c>
      <c r="F59" s="1">
        <v>31959</v>
      </c>
      <c r="G59" s="1">
        <v>43525</v>
      </c>
      <c r="H59" t="s">
        <v>9</v>
      </c>
    </row>
    <row r="60" spans="1:8" x14ac:dyDescent="0.3">
      <c r="A60" t="s">
        <v>73</v>
      </c>
      <c r="B60">
        <v>2015</v>
      </c>
      <c r="C60">
        <v>2</v>
      </c>
      <c r="D60">
        <v>2</v>
      </c>
      <c r="E60">
        <v>20</v>
      </c>
      <c r="F60" s="1">
        <v>31959</v>
      </c>
      <c r="G60" s="1">
        <v>32874</v>
      </c>
      <c r="H60" t="s">
        <v>9</v>
      </c>
    </row>
    <row r="61" spans="1:8" x14ac:dyDescent="0.3">
      <c r="A61" t="s">
        <v>74</v>
      </c>
      <c r="B61">
        <v>2012</v>
      </c>
      <c r="C61">
        <v>2</v>
      </c>
      <c r="D61">
        <v>2</v>
      </c>
      <c r="E61">
        <v>45</v>
      </c>
      <c r="F61" s="1">
        <v>31959</v>
      </c>
      <c r="G61" s="1">
        <v>50465</v>
      </c>
      <c r="H61" t="s">
        <v>28</v>
      </c>
    </row>
    <row r="62" spans="1:8" x14ac:dyDescent="0.3">
      <c r="A62" t="s">
        <v>75</v>
      </c>
      <c r="B62">
        <v>2008</v>
      </c>
      <c r="C62">
        <v>1</v>
      </c>
      <c r="D62">
        <v>5</v>
      </c>
      <c r="E62">
        <v>150</v>
      </c>
      <c r="F62" s="1">
        <v>31959</v>
      </c>
      <c r="G62" s="1">
        <v>27089</v>
      </c>
      <c r="H62" t="s">
        <v>9</v>
      </c>
    </row>
    <row r="63" spans="1:8" x14ac:dyDescent="0.3">
      <c r="A63" t="s">
        <v>76</v>
      </c>
      <c r="B63">
        <v>2014</v>
      </c>
      <c r="C63">
        <v>3</v>
      </c>
      <c r="D63">
        <v>5</v>
      </c>
      <c r="E63">
        <v>180</v>
      </c>
      <c r="F63" s="1">
        <v>31594</v>
      </c>
      <c r="G63" s="1">
        <v>42795</v>
      </c>
      <c r="H63" t="s">
        <v>9</v>
      </c>
    </row>
    <row r="64" spans="1:8" x14ac:dyDescent="0.3">
      <c r="A64" t="s">
        <v>77</v>
      </c>
      <c r="B64">
        <v>2004</v>
      </c>
      <c r="C64">
        <v>2</v>
      </c>
      <c r="D64">
        <v>6</v>
      </c>
      <c r="E64">
        <v>120</v>
      </c>
      <c r="F64" s="1">
        <v>31594</v>
      </c>
      <c r="G64" s="1">
        <v>46447</v>
      </c>
      <c r="H64" t="s">
        <v>9</v>
      </c>
    </row>
    <row r="65" spans="1:8" x14ac:dyDescent="0.3">
      <c r="A65" t="s">
        <v>78</v>
      </c>
      <c r="B65">
        <v>2015</v>
      </c>
      <c r="C65">
        <v>2</v>
      </c>
      <c r="D65">
        <v>4</v>
      </c>
      <c r="E65">
        <v>120</v>
      </c>
      <c r="F65" s="1">
        <v>31229</v>
      </c>
      <c r="G65" s="1">
        <v>44621</v>
      </c>
      <c r="H65" t="s">
        <v>9</v>
      </c>
    </row>
    <row r="66" spans="1:8" x14ac:dyDescent="0.3">
      <c r="A66" t="s">
        <v>79</v>
      </c>
      <c r="B66">
        <v>2010</v>
      </c>
      <c r="C66">
        <v>2</v>
      </c>
      <c r="D66">
        <v>6</v>
      </c>
      <c r="E66">
        <v>240</v>
      </c>
      <c r="F66" s="1">
        <v>31229</v>
      </c>
      <c r="G66" s="2">
        <v>46116</v>
      </c>
      <c r="H66" t="s">
        <v>9</v>
      </c>
    </row>
    <row r="67" spans="1:8" x14ac:dyDescent="0.3">
      <c r="A67" t="s">
        <v>80</v>
      </c>
      <c r="B67">
        <v>2016</v>
      </c>
      <c r="C67">
        <v>2</v>
      </c>
      <c r="D67">
        <v>4</v>
      </c>
      <c r="E67">
        <v>90</v>
      </c>
      <c r="F67" s="1">
        <v>31229</v>
      </c>
      <c r="G67" s="1">
        <v>46447</v>
      </c>
      <c r="H67" t="s">
        <v>9</v>
      </c>
    </row>
    <row r="68" spans="1:8" x14ac:dyDescent="0.3">
      <c r="A68" t="s">
        <v>81</v>
      </c>
      <c r="B68">
        <v>2019</v>
      </c>
      <c r="C68">
        <v>1</v>
      </c>
      <c r="D68">
        <v>5</v>
      </c>
      <c r="E68">
        <v>60</v>
      </c>
      <c r="F68" s="1">
        <v>30864</v>
      </c>
      <c r="G68" s="2">
        <v>46144</v>
      </c>
      <c r="H68" t="s">
        <v>12</v>
      </c>
    </row>
    <row r="69" spans="1:8" x14ac:dyDescent="0.3">
      <c r="A69" t="s">
        <v>82</v>
      </c>
      <c r="B69">
        <v>2018</v>
      </c>
      <c r="C69">
        <v>1</v>
      </c>
      <c r="D69">
        <v>5</v>
      </c>
      <c r="E69">
        <v>80</v>
      </c>
      <c r="F69" s="1">
        <v>30498</v>
      </c>
      <c r="G69" s="1">
        <v>28157</v>
      </c>
      <c r="H69" t="s">
        <v>9</v>
      </c>
    </row>
    <row r="70" spans="1:8" x14ac:dyDescent="0.3">
      <c r="A70" t="s">
        <v>83</v>
      </c>
      <c r="B70">
        <v>2019</v>
      </c>
      <c r="C70">
        <v>2</v>
      </c>
      <c r="D70">
        <v>4</v>
      </c>
      <c r="E70">
        <v>45</v>
      </c>
      <c r="F70" s="1">
        <v>30498</v>
      </c>
      <c r="G70" s="2">
        <v>46144</v>
      </c>
      <c r="H70" t="s">
        <v>84</v>
      </c>
    </row>
    <row r="71" spans="1:8" x14ac:dyDescent="0.3">
      <c r="A71" t="s">
        <v>85</v>
      </c>
      <c r="B71">
        <v>2017</v>
      </c>
      <c r="C71">
        <v>2</v>
      </c>
      <c r="D71">
        <v>4</v>
      </c>
      <c r="E71">
        <v>45</v>
      </c>
      <c r="F71" s="1">
        <v>30498</v>
      </c>
      <c r="G71" s="1">
        <v>28126</v>
      </c>
      <c r="H71" t="s">
        <v>84</v>
      </c>
    </row>
    <row r="72" spans="1:8" x14ac:dyDescent="0.3">
      <c r="A72" t="s">
        <v>86</v>
      </c>
      <c r="B72">
        <v>2018</v>
      </c>
      <c r="C72">
        <v>2</v>
      </c>
      <c r="D72">
        <v>4</v>
      </c>
      <c r="E72">
        <v>45</v>
      </c>
      <c r="F72" s="1">
        <v>30133</v>
      </c>
      <c r="G72" s="1">
        <v>34335</v>
      </c>
      <c r="H72" t="s">
        <v>40</v>
      </c>
    </row>
    <row r="73" spans="1:8" x14ac:dyDescent="0.3">
      <c r="A73" t="s">
        <v>87</v>
      </c>
      <c r="B73">
        <v>2013</v>
      </c>
      <c r="C73">
        <v>1</v>
      </c>
      <c r="D73">
        <v>8</v>
      </c>
      <c r="E73">
        <v>240</v>
      </c>
      <c r="F73" s="1">
        <v>29768</v>
      </c>
      <c r="G73" s="1">
        <v>48274</v>
      </c>
      <c r="H73" t="s">
        <v>12</v>
      </c>
    </row>
    <row r="74" spans="1:8" x14ac:dyDescent="0.3">
      <c r="A74" t="s">
        <v>88</v>
      </c>
      <c r="B74">
        <v>2017</v>
      </c>
      <c r="C74">
        <v>2</v>
      </c>
      <c r="D74">
        <v>4</v>
      </c>
      <c r="E74">
        <v>120</v>
      </c>
      <c r="F74" s="1">
        <v>29768</v>
      </c>
      <c r="G74" s="1">
        <v>29983</v>
      </c>
      <c r="H74" t="s">
        <v>12</v>
      </c>
    </row>
    <row r="75" spans="1:8" x14ac:dyDescent="0.3">
      <c r="A75" t="s">
        <v>89</v>
      </c>
      <c r="B75">
        <v>2018</v>
      </c>
      <c r="C75">
        <v>1</v>
      </c>
      <c r="D75">
        <v>4</v>
      </c>
      <c r="E75">
        <v>90</v>
      </c>
      <c r="F75" s="1">
        <v>29403</v>
      </c>
      <c r="G75" s="2">
        <v>46328</v>
      </c>
      <c r="H75" t="s">
        <v>12</v>
      </c>
    </row>
    <row r="76" spans="1:8" x14ac:dyDescent="0.3">
      <c r="A76" t="s">
        <v>90</v>
      </c>
      <c r="B76">
        <v>2019</v>
      </c>
      <c r="C76">
        <v>2</v>
      </c>
      <c r="D76">
        <v>4</v>
      </c>
      <c r="E76">
        <v>60</v>
      </c>
      <c r="F76" s="1">
        <v>29403</v>
      </c>
      <c r="G76" s="1">
        <v>21582</v>
      </c>
      <c r="H76" t="s">
        <v>9</v>
      </c>
    </row>
    <row r="77" spans="1:8" x14ac:dyDescent="0.3">
      <c r="A77" t="s">
        <v>91</v>
      </c>
      <c r="B77">
        <v>2012</v>
      </c>
      <c r="C77">
        <v>2</v>
      </c>
      <c r="D77">
        <v>6</v>
      </c>
      <c r="E77">
        <v>120</v>
      </c>
      <c r="F77" s="1">
        <v>29403</v>
      </c>
      <c r="G77" s="1">
        <v>49369</v>
      </c>
      <c r="H77" t="s">
        <v>9</v>
      </c>
    </row>
    <row r="78" spans="1:8" x14ac:dyDescent="0.3">
      <c r="A78" t="s">
        <v>92</v>
      </c>
      <c r="B78">
        <v>2016</v>
      </c>
      <c r="C78">
        <v>2</v>
      </c>
      <c r="D78">
        <v>4</v>
      </c>
      <c r="E78">
        <v>90</v>
      </c>
      <c r="F78" s="1">
        <v>29403</v>
      </c>
      <c r="G78" s="1">
        <v>32174</v>
      </c>
      <c r="H78" t="s">
        <v>9</v>
      </c>
    </row>
    <row r="79" spans="1:8" x14ac:dyDescent="0.3">
      <c r="A79" t="s">
        <v>93</v>
      </c>
      <c r="B79">
        <v>2015</v>
      </c>
      <c r="C79">
        <v>2</v>
      </c>
      <c r="D79">
        <v>4</v>
      </c>
      <c r="E79">
        <v>80</v>
      </c>
      <c r="F79" s="1">
        <v>29037</v>
      </c>
      <c r="G79" s="1">
        <v>19391</v>
      </c>
      <c r="H79" t="s">
        <v>9</v>
      </c>
    </row>
    <row r="80" spans="1:8" x14ac:dyDescent="0.3">
      <c r="A80" t="s">
        <v>94</v>
      </c>
      <c r="B80">
        <v>2018</v>
      </c>
      <c r="C80">
        <v>3</v>
      </c>
      <c r="D80">
        <v>8</v>
      </c>
      <c r="E80">
        <v>45</v>
      </c>
      <c r="F80" s="1">
        <v>29037</v>
      </c>
      <c r="G80" s="1">
        <v>30317</v>
      </c>
      <c r="H80" t="s">
        <v>95</v>
      </c>
    </row>
    <row r="81" spans="1:8" x14ac:dyDescent="0.3">
      <c r="A81" t="s">
        <v>96</v>
      </c>
      <c r="B81">
        <v>2006</v>
      </c>
      <c r="C81">
        <v>2</v>
      </c>
      <c r="D81">
        <v>2</v>
      </c>
      <c r="E81">
        <v>60</v>
      </c>
      <c r="F81" s="1">
        <v>28672</v>
      </c>
      <c r="G81" s="1">
        <v>25235</v>
      </c>
      <c r="H81" t="s">
        <v>97</v>
      </c>
    </row>
    <row r="82" spans="1:8" x14ac:dyDescent="0.3">
      <c r="A82" t="s">
        <v>98</v>
      </c>
      <c r="B82">
        <v>2014</v>
      </c>
      <c r="C82">
        <v>2</v>
      </c>
      <c r="D82">
        <v>4</v>
      </c>
      <c r="E82">
        <v>80</v>
      </c>
      <c r="F82" s="1">
        <v>28672</v>
      </c>
      <c r="G82" s="1">
        <v>31444</v>
      </c>
      <c r="H82" t="s">
        <v>9</v>
      </c>
    </row>
    <row r="83" spans="1:8" x14ac:dyDescent="0.3">
      <c r="A83" t="s">
        <v>99</v>
      </c>
      <c r="B83">
        <v>2015</v>
      </c>
      <c r="C83">
        <v>2</v>
      </c>
      <c r="D83">
        <v>4</v>
      </c>
      <c r="E83">
        <v>90</v>
      </c>
      <c r="F83" s="1">
        <v>28307</v>
      </c>
      <c r="G83" s="1">
        <v>21582</v>
      </c>
      <c r="H83" t="s">
        <v>9</v>
      </c>
    </row>
    <row r="84" spans="1:8" x14ac:dyDescent="0.3">
      <c r="A84" t="s">
        <v>100</v>
      </c>
      <c r="B84">
        <v>2013</v>
      </c>
      <c r="C84">
        <v>2</v>
      </c>
      <c r="D84">
        <v>4</v>
      </c>
      <c r="E84">
        <v>120</v>
      </c>
      <c r="F84" s="1">
        <v>28307</v>
      </c>
      <c r="G84" s="1">
        <v>51561</v>
      </c>
      <c r="H84" t="s">
        <v>9</v>
      </c>
    </row>
    <row r="85" spans="1:8" x14ac:dyDescent="0.3">
      <c r="A85" t="s">
        <v>101</v>
      </c>
      <c r="B85">
        <v>2004</v>
      </c>
      <c r="C85">
        <v>2</v>
      </c>
      <c r="D85">
        <v>4</v>
      </c>
      <c r="E85">
        <v>120</v>
      </c>
      <c r="F85" s="1">
        <v>28307</v>
      </c>
      <c r="G85" s="1">
        <v>31107</v>
      </c>
      <c r="H85" t="s">
        <v>12</v>
      </c>
    </row>
    <row r="86" spans="1:8" x14ac:dyDescent="0.3">
      <c r="A86" t="s">
        <v>102</v>
      </c>
      <c r="B86">
        <v>2005</v>
      </c>
      <c r="C86">
        <v>2</v>
      </c>
      <c r="D86">
        <v>5</v>
      </c>
      <c r="E86">
        <v>150</v>
      </c>
      <c r="F86" s="1">
        <v>28307</v>
      </c>
      <c r="G86" s="1">
        <v>29281</v>
      </c>
      <c r="H86" t="s">
        <v>9</v>
      </c>
    </row>
    <row r="87" spans="1:8" x14ac:dyDescent="0.3">
      <c r="A87" t="s">
        <v>103</v>
      </c>
      <c r="B87">
        <v>2007</v>
      </c>
      <c r="C87">
        <v>2</v>
      </c>
      <c r="D87">
        <v>4</v>
      </c>
      <c r="E87">
        <v>60</v>
      </c>
      <c r="F87" s="1">
        <v>27942</v>
      </c>
      <c r="G87" s="1">
        <v>35827</v>
      </c>
      <c r="H87" t="s">
        <v>9</v>
      </c>
    </row>
    <row r="88" spans="1:8" x14ac:dyDescent="0.3">
      <c r="A88" t="s">
        <v>104</v>
      </c>
      <c r="B88">
        <v>2019</v>
      </c>
      <c r="C88">
        <v>1</v>
      </c>
      <c r="D88">
        <v>100</v>
      </c>
      <c r="E88">
        <v>45</v>
      </c>
      <c r="F88" s="1">
        <v>27942</v>
      </c>
      <c r="G88" s="1">
        <v>33239</v>
      </c>
      <c r="H88" t="s">
        <v>40</v>
      </c>
    </row>
    <row r="89" spans="1:8" x14ac:dyDescent="0.3">
      <c r="A89" t="s">
        <v>105</v>
      </c>
      <c r="B89">
        <v>2011</v>
      </c>
      <c r="C89">
        <v>2</v>
      </c>
      <c r="D89">
        <v>4</v>
      </c>
      <c r="E89">
        <v>120</v>
      </c>
      <c r="F89" s="1">
        <v>27942</v>
      </c>
      <c r="G89" s="1">
        <v>23802</v>
      </c>
      <c r="H89" t="s">
        <v>9</v>
      </c>
    </row>
    <row r="90" spans="1:8" x14ac:dyDescent="0.3">
      <c r="A90" t="s">
        <v>106</v>
      </c>
      <c r="B90">
        <v>2010</v>
      </c>
      <c r="C90">
        <v>2</v>
      </c>
      <c r="D90">
        <v>4</v>
      </c>
      <c r="E90">
        <v>90</v>
      </c>
      <c r="F90" s="1">
        <v>27942</v>
      </c>
      <c r="G90" s="1">
        <v>53387</v>
      </c>
      <c r="H90" t="s">
        <v>9</v>
      </c>
    </row>
    <row r="91" spans="1:8" x14ac:dyDescent="0.3">
      <c r="A91" t="s">
        <v>107</v>
      </c>
      <c r="B91">
        <v>2012</v>
      </c>
      <c r="C91">
        <v>2</v>
      </c>
      <c r="D91">
        <v>5</v>
      </c>
      <c r="E91">
        <v>120</v>
      </c>
      <c r="F91" s="1">
        <v>27576</v>
      </c>
      <c r="G91" s="1">
        <v>53359</v>
      </c>
      <c r="H91" t="s">
        <v>9</v>
      </c>
    </row>
    <row r="92" spans="1:8" x14ac:dyDescent="0.3">
      <c r="A92" t="s">
        <v>108</v>
      </c>
      <c r="B92">
        <v>2010</v>
      </c>
      <c r="C92">
        <v>2</v>
      </c>
      <c r="D92">
        <v>7</v>
      </c>
      <c r="E92">
        <v>30</v>
      </c>
      <c r="F92" s="1">
        <v>27576</v>
      </c>
      <c r="G92" s="1">
        <v>48611</v>
      </c>
      <c r="H92" t="s">
        <v>40</v>
      </c>
    </row>
    <row r="93" spans="1:8" x14ac:dyDescent="0.3">
      <c r="A93" t="s">
        <v>109</v>
      </c>
      <c r="B93">
        <v>1995</v>
      </c>
      <c r="C93">
        <v>2</v>
      </c>
      <c r="D93">
        <v>5</v>
      </c>
      <c r="E93">
        <v>120</v>
      </c>
      <c r="F93" s="1">
        <v>27576</v>
      </c>
      <c r="G93" s="2">
        <v>46145</v>
      </c>
      <c r="H93" t="s">
        <v>9</v>
      </c>
    </row>
    <row r="94" spans="1:8" x14ac:dyDescent="0.3">
      <c r="A94" t="s">
        <v>110</v>
      </c>
      <c r="B94">
        <v>2019</v>
      </c>
      <c r="C94">
        <v>1</v>
      </c>
      <c r="D94">
        <v>4</v>
      </c>
      <c r="E94">
        <v>180</v>
      </c>
      <c r="F94" s="1">
        <v>27211</v>
      </c>
      <c r="G94" s="1">
        <v>53724</v>
      </c>
      <c r="H94" t="s">
        <v>12</v>
      </c>
    </row>
    <row r="95" spans="1:8" x14ac:dyDescent="0.3">
      <c r="A95" t="s">
        <v>111</v>
      </c>
      <c r="B95">
        <v>2009</v>
      </c>
      <c r="C95">
        <v>2</v>
      </c>
      <c r="D95">
        <v>4</v>
      </c>
      <c r="E95">
        <v>30</v>
      </c>
      <c r="F95" s="1">
        <v>26481</v>
      </c>
      <c r="G95" s="1">
        <v>51898</v>
      </c>
      <c r="H95" t="s">
        <v>9</v>
      </c>
    </row>
    <row r="96" spans="1:8" x14ac:dyDescent="0.3">
      <c r="A96" t="s">
        <v>112</v>
      </c>
      <c r="B96">
        <v>2017</v>
      </c>
      <c r="C96">
        <v>1</v>
      </c>
      <c r="D96">
        <v>4</v>
      </c>
      <c r="E96">
        <v>120</v>
      </c>
      <c r="F96" s="1">
        <v>26481</v>
      </c>
      <c r="G96" s="2">
        <v>46115</v>
      </c>
      <c r="H96" t="s">
        <v>9</v>
      </c>
    </row>
    <row r="97" spans="1:8" x14ac:dyDescent="0.3">
      <c r="A97" t="s">
        <v>113</v>
      </c>
      <c r="B97">
        <v>2012</v>
      </c>
      <c r="C97">
        <v>2</v>
      </c>
      <c r="D97">
        <v>5</v>
      </c>
      <c r="E97">
        <v>120</v>
      </c>
      <c r="F97" s="1">
        <v>26481</v>
      </c>
      <c r="G97" s="2">
        <v>46025</v>
      </c>
      <c r="H97" t="s">
        <v>9</v>
      </c>
    </row>
    <row r="98" spans="1:8" x14ac:dyDescent="0.3">
      <c r="A98" t="s">
        <v>114</v>
      </c>
      <c r="B98">
        <v>2017</v>
      </c>
      <c r="C98">
        <v>2</v>
      </c>
      <c r="D98">
        <v>5</v>
      </c>
      <c r="E98">
        <v>45</v>
      </c>
      <c r="F98" s="1">
        <v>26115</v>
      </c>
      <c r="G98" s="1">
        <v>23743</v>
      </c>
      <c r="H98" t="s">
        <v>40</v>
      </c>
    </row>
    <row r="99" spans="1:8" x14ac:dyDescent="0.3">
      <c r="A99" t="s">
        <v>115</v>
      </c>
      <c r="B99">
        <v>2014</v>
      </c>
      <c r="C99">
        <v>2</v>
      </c>
      <c r="D99">
        <v>4</v>
      </c>
      <c r="E99">
        <v>60</v>
      </c>
      <c r="F99" s="1">
        <v>26115</v>
      </c>
      <c r="G99" s="1">
        <v>19391</v>
      </c>
      <c r="H99" t="s">
        <v>12</v>
      </c>
    </row>
    <row r="100" spans="1:8" x14ac:dyDescent="0.3">
      <c r="A100" t="s">
        <v>116</v>
      </c>
      <c r="B100">
        <v>2011</v>
      </c>
      <c r="C100">
        <v>1</v>
      </c>
      <c r="D100">
        <v>4</v>
      </c>
      <c r="E100">
        <v>180</v>
      </c>
      <c r="F100" s="1">
        <v>26115</v>
      </c>
      <c r="G100" s="1">
        <v>32933</v>
      </c>
      <c r="H100" t="s">
        <v>9</v>
      </c>
    </row>
    <row r="101" spans="1:8" x14ac:dyDescent="0.3">
      <c r="A101" t="s">
        <v>117</v>
      </c>
      <c r="B101">
        <v>2017</v>
      </c>
      <c r="C101">
        <v>2</v>
      </c>
      <c r="D101">
        <v>4</v>
      </c>
      <c r="E101">
        <v>75</v>
      </c>
      <c r="F101" s="1">
        <v>25750</v>
      </c>
      <c r="G101" s="1">
        <v>31444</v>
      </c>
      <c r="H101" t="s">
        <v>9</v>
      </c>
    </row>
    <row r="102" spans="1:8" x14ac:dyDescent="0.3">
      <c r="A102" t="s">
        <v>118</v>
      </c>
      <c r="B102">
        <v>1997</v>
      </c>
      <c r="C102">
        <v>2</v>
      </c>
      <c r="D102">
        <v>4</v>
      </c>
      <c r="E102">
        <v>90</v>
      </c>
      <c r="F102" s="1">
        <v>25750</v>
      </c>
      <c r="G102" s="1">
        <v>18688</v>
      </c>
      <c r="H102" t="s">
        <v>9</v>
      </c>
    </row>
    <row r="103" spans="1:8" x14ac:dyDescent="0.3">
      <c r="A103" t="s">
        <v>119</v>
      </c>
      <c r="B103">
        <v>2005</v>
      </c>
      <c r="C103">
        <v>2</v>
      </c>
      <c r="D103">
        <v>6</v>
      </c>
      <c r="E103">
        <v>120</v>
      </c>
      <c r="F103" s="1">
        <v>25385</v>
      </c>
      <c r="G103" s="2">
        <v>46056</v>
      </c>
      <c r="H103" t="s">
        <v>9</v>
      </c>
    </row>
    <row r="104" spans="1:8" x14ac:dyDescent="0.3">
      <c r="A104" t="s">
        <v>120</v>
      </c>
      <c r="B104">
        <v>2018</v>
      </c>
      <c r="C104">
        <v>2</v>
      </c>
      <c r="D104">
        <v>4</v>
      </c>
      <c r="E104">
        <v>90</v>
      </c>
      <c r="F104" s="1">
        <v>25385</v>
      </c>
      <c r="G104" s="1">
        <v>46813</v>
      </c>
      <c r="H104" t="s">
        <v>9</v>
      </c>
    </row>
    <row r="105" spans="1:8" x14ac:dyDescent="0.3">
      <c r="A105" t="s">
        <v>121</v>
      </c>
      <c r="B105">
        <v>2015</v>
      </c>
      <c r="C105">
        <v>1</v>
      </c>
      <c r="D105">
        <v>6</v>
      </c>
      <c r="E105">
        <v>180</v>
      </c>
      <c r="F105" s="1">
        <v>25020</v>
      </c>
      <c r="G105" s="1">
        <v>18660</v>
      </c>
      <c r="H105" t="s">
        <v>12</v>
      </c>
    </row>
    <row r="106" spans="1:8" x14ac:dyDescent="0.3">
      <c r="A106" t="s">
        <v>122</v>
      </c>
      <c r="B106">
        <v>2009</v>
      </c>
      <c r="C106">
        <v>3</v>
      </c>
      <c r="D106">
        <v>4</v>
      </c>
      <c r="E106">
        <v>120</v>
      </c>
      <c r="F106" s="1">
        <v>25020</v>
      </c>
      <c r="G106" s="1">
        <v>43525</v>
      </c>
      <c r="H106" t="s">
        <v>9</v>
      </c>
    </row>
    <row r="107" spans="1:8" x14ac:dyDescent="0.3">
      <c r="A107" t="s">
        <v>123</v>
      </c>
      <c r="B107">
        <v>2014</v>
      </c>
      <c r="C107">
        <v>2</v>
      </c>
      <c r="D107">
        <v>5</v>
      </c>
      <c r="E107">
        <v>45</v>
      </c>
      <c r="F107" s="1">
        <v>24654</v>
      </c>
      <c r="G107" s="1">
        <v>28157</v>
      </c>
      <c r="H107" t="s">
        <v>9</v>
      </c>
    </row>
    <row r="108" spans="1:8" x14ac:dyDescent="0.3">
      <c r="A108" t="s">
        <v>124</v>
      </c>
      <c r="B108">
        <v>2014</v>
      </c>
      <c r="C108">
        <v>2</v>
      </c>
      <c r="D108">
        <v>4</v>
      </c>
      <c r="E108">
        <v>120</v>
      </c>
      <c r="F108" s="1">
        <v>24654</v>
      </c>
      <c r="G108" s="1">
        <v>32933</v>
      </c>
      <c r="H108" t="s">
        <v>9</v>
      </c>
    </row>
    <row r="109" spans="1:8" x14ac:dyDescent="0.3">
      <c r="A109" t="s">
        <v>125</v>
      </c>
      <c r="B109">
        <v>2014</v>
      </c>
      <c r="C109">
        <v>1</v>
      </c>
      <c r="D109">
        <v>4</v>
      </c>
      <c r="E109">
        <v>120</v>
      </c>
      <c r="F109" s="1">
        <v>24654</v>
      </c>
      <c r="G109" s="1">
        <v>21245</v>
      </c>
      <c r="H109" t="s">
        <v>9</v>
      </c>
    </row>
    <row r="110" spans="1:8" x14ac:dyDescent="0.3">
      <c r="A110" t="s">
        <v>126</v>
      </c>
      <c r="B110">
        <v>2018</v>
      </c>
      <c r="C110">
        <v>2</v>
      </c>
      <c r="D110">
        <v>6</v>
      </c>
      <c r="E110">
        <v>90</v>
      </c>
      <c r="F110" s="1">
        <v>24289</v>
      </c>
      <c r="G110" s="1">
        <v>28522</v>
      </c>
      <c r="H110" t="s">
        <v>12</v>
      </c>
    </row>
    <row r="111" spans="1:8" x14ac:dyDescent="0.3">
      <c r="A111" t="s">
        <v>127</v>
      </c>
      <c r="B111">
        <v>2014</v>
      </c>
      <c r="C111">
        <v>2</v>
      </c>
      <c r="D111">
        <v>2</v>
      </c>
      <c r="E111">
        <v>30</v>
      </c>
      <c r="F111" s="1">
        <v>24289</v>
      </c>
      <c r="G111" s="1">
        <v>23377</v>
      </c>
      <c r="H111" t="s">
        <v>84</v>
      </c>
    </row>
    <row r="112" spans="1:8" x14ac:dyDescent="0.3">
      <c r="A112" t="s">
        <v>128</v>
      </c>
      <c r="B112">
        <v>2016</v>
      </c>
      <c r="C112">
        <v>2</v>
      </c>
      <c r="D112">
        <v>5</v>
      </c>
      <c r="E112">
        <v>120</v>
      </c>
      <c r="F112" s="1">
        <v>23924</v>
      </c>
      <c r="G112" s="1">
        <v>51926</v>
      </c>
      <c r="H112" t="s">
        <v>12</v>
      </c>
    </row>
    <row r="113" spans="1:8" x14ac:dyDescent="0.3">
      <c r="A113" t="s">
        <v>129</v>
      </c>
      <c r="B113">
        <v>2009</v>
      </c>
      <c r="C113">
        <v>2</v>
      </c>
      <c r="D113">
        <v>5</v>
      </c>
      <c r="E113">
        <v>90</v>
      </c>
      <c r="F113" s="1">
        <v>23924</v>
      </c>
      <c r="G113" s="2">
        <v>46359</v>
      </c>
      <c r="H113" t="s">
        <v>9</v>
      </c>
    </row>
    <row r="114" spans="1:8" x14ac:dyDescent="0.3">
      <c r="A114" t="s">
        <v>130</v>
      </c>
      <c r="B114">
        <v>2018</v>
      </c>
      <c r="C114">
        <v>1</v>
      </c>
      <c r="D114">
        <v>4</v>
      </c>
      <c r="E114">
        <v>30</v>
      </c>
      <c r="F114" s="1">
        <v>23559</v>
      </c>
      <c r="G114" s="1">
        <v>32509</v>
      </c>
      <c r="H114" t="s">
        <v>40</v>
      </c>
    </row>
    <row r="115" spans="1:8" x14ac:dyDescent="0.3">
      <c r="A115" t="s">
        <v>131</v>
      </c>
      <c r="B115">
        <v>2012</v>
      </c>
      <c r="C115">
        <v>2</v>
      </c>
      <c r="D115">
        <v>2</v>
      </c>
      <c r="E115">
        <v>90</v>
      </c>
      <c r="F115" s="1">
        <v>23559</v>
      </c>
      <c r="G115" s="1">
        <v>24532</v>
      </c>
      <c r="H115" t="s">
        <v>28</v>
      </c>
    </row>
    <row r="116" spans="1:8" x14ac:dyDescent="0.3">
      <c r="A116" t="s">
        <v>132</v>
      </c>
      <c r="B116">
        <v>2013</v>
      </c>
      <c r="C116">
        <v>1</v>
      </c>
      <c r="D116">
        <v>5</v>
      </c>
      <c r="E116">
        <v>200</v>
      </c>
      <c r="F116" s="1">
        <v>23559</v>
      </c>
      <c r="G116" s="1">
        <v>19784</v>
      </c>
      <c r="H116" t="s">
        <v>9</v>
      </c>
    </row>
    <row r="117" spans="1:8" x14ac:dyDescent="0.3">
      <c r="A117" t="s">
        <v>133</v>
      </c>
      <c r="B117">
        <v>2012</v>
      </c>
      <c r="C117">
        <v>2</v>
      </c>
      <c r="D117">
        <v>2</v>
      </c>
      <c r="E117">
        <v>60</v>
      </c>
      <c r="F117" s="1">
        <v>23559</v>
      </c>
      <c r="G117" s="1">
        <v>49341</v>
      </c>
      <c r="H117" t="s">
        <v>9</v>
      </c>
    </row>
    <row r="118" spans="1:8" x14ac:dyDescent="0.3">
      <c r="A118" t="s">
        <v>134</v>
      </c>
      <c r="B118">
        <v>-2200</v>
      </c>
      <c r="C118">
        <v>2</v>
      </c>
      <c r="D118">
        <v>2</v>
      </c>
      <c r="E118">
        <v>180</v>
      </c>
      <c r="F118" s="1">
        <v>23559</v>
      </c>
      <c r="G118" t="s">
        <v>43</v>
      </c>
      <c r="H118" t="s">
        <v>84</v>
      </c>
    </row>
    <row r="119" spans="1:8" x14ac:dyDescent="0.3">
      <c r="A119" t="s">
        <v>135</v>
      </c>
      <c r="B119">
        <v>2019</v>
      </c>
      <c r="C119">
        <v>2</v>
      </c>
      <c r="D119">
        <v>4</v>
      </c>
      <c r="E119">
        <v>60</v>
      </c>
      <c r="F119" s="1">
        <v>23193</v>
      </c>
      <c r="G119" s="1">
        <v>24139</v>
      </c>
      <c r="H119" t="s">
        <v>9</v>
      </c>
    </row>
    <row r="120" spans="1:8" x14ac:dyDescent="0.3">
      <c r="A120" t="s">
        <v>136</v>
      </c>
      <c r="B120">
        <v>2010</v>
      </c>
      <c r="C120">
        <v>2</v>
      </c>
      <c r="D120">
        <v>4</v>
      </c>
      <c r="E120">
        <v>240</v>
      </c>
      <c r="F120" s="1">
        <v>23193</v>
      </c>
      <c r="G120" s="1">
        <v>28550</v>
      </c>
      <c r="H120" t="s">
        <v>9</v>
      </c>
    </row>
    <row r="121" spans="1:8" x14ac:dyDescent="0.3">
      <c r="A121" t="s">
        <v>137</v>
      </c>
      <c r="B121">
        <v>2016</v>
      </c>
      <c r="C121">
        <v>2</v>
      </c>
      <c r="D121">
        <v>6</v>
      </c>
      <c r="E121">
        <v>60</v>
      </c>
      <c r="F121" s="1">
        <v>22828</v>
      </c>
      <c r="G121" s="1">
        <v>28522</v>
      </c>
      <c r="H121" t="s">
        <v>9</v>
      </c>
    </row>
    <row r="122" spans="1:8" x14ac:dyDescent="0.3">
      <c r="A122" t="s">
        <v>138</v>
      </c>
      <c r="B122">
        <v>2015</v>
      </c>
      <c r="C122">
        <v>2</v>
      </c>
      <c r="D122">
        <v>8</v>
      </c>
      <c r="E122">
        <v>15</v>
      </c>
      <c r="F122" s="1">
        <v>22828</v>
      </c>
      <c r="G122" s="1">
        <v>47119</v>
      </c>
      <c r="H122" t="s">
        <v>95</v>
      </c>
    </row>
    <row r="123" spans="1:8" x14ac:dyDescent="0.3">
      <c r="A123" t="s">
        <v>139</v>
      </c>
      <c r="B123">
        <v>2008</v>
      </c>
      <c r="C123">
        <v>2</v>
      </c>
      <c r="D123">
        <v>4</v>
      </c>
      <c r="E123">
        <v>30</v>
      </c>
      <c r="F123" s="1">
        <v>22828</v>
      </c>
      <c r="G123" s="1">
        <v>49706</v>
      </c>
      <c r="H123" t="s">
        <v>9</v>
      </c>
    </row>
    <row r="124" spans="1:8" x14ac:dyDescent="0.3">
      <c r="A124" t="s">
        <v>140</v>
      </c>
      <c r="B124">
        <v>2017</v>
      </c>
      <c r="C124">
        <v>2</v>
      </c>
      <c r="D124">
        <v>4</v>
      </c>
      <c r="E124">
        <v>60</v>
      </c>
      <c r="F124" s="1">
        <v>22463</v>
      </c>
      <c r="G124" s="1">
        <v>33970</v>
      </c>
      <c r="H124" t="s">
        <v>40</v>
      </c>
    </row>
    <row r="125" spans="1:8" x14ac:dyDescent="0.3">
      <c r="A125" t="s">
        <v>141</v>
      </c>
      <c r="B125">
        <v>2018</v>
      </c>
      <c r="C125">
        <v>1</v>
      </c>
      <c r="D125">
        <v>100</v>
      </c>
      <c r="E125">
        <v>25</v>
      </c>
      <c r="F125" s="1">
        <v>22463</v>
      </c>
      <c r="G125" s="1">
        <v>29952</v>
      </c>
      <c r="H125" t="s">
        <v>40</v>
      </c>
    </row>
    <row r="126" spans="1:8" x14ac:dyDescent="0.3">
      <c r="A126" t="s">
        <v>142</v>
      </c>
      <c r="B126">
        <v>2008</v>
      </c>
      <c r="C126">
        <v>2</v>
      </c>
      <c r="D126">
        <v>4</v>
      </c>
      <c r="E126">
        <v>45</v>
      </c>
      <c r="F126" s="1">
        <v>22463</v>
      </c>
      <c r="G126" s="1">
        <v>51533</v>
      </c>
      <c r="H126" t="s">
        <v>40</v>
      </c>
    </row>
    <row r="127" spans="1:8" x14ac:dyDescent="0.3">
      <c r="A127" t="s">
        <v>143</v>
      </c>
      <c r="B127">
        <v>2016</v>
      </c>
      <c r="C127">
        <v>2</v>
      </c>
      <c r="D127">
        <v>4</v>
      </c>
      <c r="E127">
        <v>30</v>
      </c>
      <c r="F127" s="1">
        <v>22098</v>
      </c>
      <c r="G127" s="1">
        <v>32874</v>
      </c>
      <c r="H127" t="s">
        <v>28</v>
      </c>
    </row>
    <row r="128" spans="1:8" x14ac:dyDescent="0.3">
      <c r="A128" t="s">
        <v>144</v>
      </c>
      <c r="B128">
        <v>2018</v>
      </c>
      <c r="C128">
        <v>3</v>
      </c>
      <c r="D128">
        <v>7</v>
      </c>
      <c r="E128">
        <v>20</v>
      </c>
      <c r="F128" s="1">
        <v>22098</v>
      </c>
      <c r="G128" s="2">
        <v>46143</v>
      </c>
      <c r="H128" t="s">
        <v>95</v>
      </c>
    </row>
    <row r="129" spans="1:8" x14ac:dyDescent="0.3">
      <c r="A129" t="s">
        <v>145</v>
      </c>
      <c r="B129">
        <v>2018</v>
      </c>
      <c r="C129">
        <v>2</v>
      </c>
      <c r="D129">
        <v>5</v>
      </c>
      <c r="E129">
        <v>60</v>
      </c>
      <c r="F129" s="1">
        <v>21732</v>
      </c>
      <c r="G129" s="1">
        <v>41306</v>
      </c>
      <c r="H129" t="s">
        <v>40</v>
      </c>
    </row>
    <row r="130" spans="1:8" x14ac:dyDescent="0.3">
      <c r="A130" t="s">
        <v>146</v>
      </c>
      <c r="B130">
        <v>2009</v>
      </c>
      <c r="C130">
        <v>3</v>
      </c>
      <c r="D130">
        <v>5</v>
      </c>
      <c r="E130">
        <v>90</v>
      </c>
      <c r="F130" s="1">
        <v>21732</v>
      </c>
      <c r="G130" s="1">
        <v>53387</v>
      </c>
      <c r="H130" t="s">
        <v>9</v>
      </c>
    </row>
    <row r="131" spans="1:8" x14ac:dyDescent="0.3">
      <c r="A131" t="s">
        <v>147</v>
      </c>
      <c r="B131">
        <v>2012</v>
      </c>
      <c r="C131">
        <v>5</v>
      </c>
      <c r="D131">
        <v>10</v>
      </c>
      <c r="E131">
        <v>30</v>
      </c>
      <c r="F131" s="1">
        <v>21367</v>
      </c>
      <c r="G131" s="1">
        <v>28126</v>
      </c>
      <c r="H131" t="s">
        <v>95</v>
      </c>
    </row>
    <row r="132" spans="1:8" x14ac:dyDescent="0.3">
      <c r="A132" t="s">
        <v>148</v>
      </c>
      <c r="B132">
        <v>2014</v>
      </c>
      <c r="C132">
        <v>2</v>
      </c>
      <c r="D132">
        <v>2</v>
      </c>
      <c r="E132">
        <v>20</v>
      </c>
      <c r="F132" s="1">
        <v>21367</v>
      </c>
      <c r="G132" s="1">
        <v>34335</v>
      </c>
      <c r="H132" t="s">
        <v>9</v>
      </c>
    </row>
    <row r="133" spans="1:8" x14ac:dyDescent="0.3">
      <c r="A133" t="s">
        <v>149</v>
      </c>
      <c r="B133">
        <v>2014</v>
      </c>
      <c r="C133">
        <v>2</v>
      </c>
      <c r="D133">
        <v>5</v>
      </c>
      <c r="E133">
        <v>60</v>
      </c>
      <c r="F133" s="1">
        <v>21367</v>
      </c>
      <c r="G133" s="1">
        <v>21217</v>
      </c>
      <c r="H133" t="s">
        <v>9</v>
      </c>
    </row>
    <row r="134" spans="1:8" x14ac:dyDescent="0.3">
      <c r="A134" t="s">
        <v>150</v>
      </c>
      <c r="B134">
        <v>1991</v>
      </c>
      <c r="C134">
        <v>4</v>
      </c>
      <c r="D134">
        <v>4</v>
      </c>
      <c r="E134">
        <v>60</v>
      </c>
      <c r="F134" s="1">
        <v>21367</v>
      </c>
      <c r="G134" s="1">
        <v>48976</v>
      </c>
      <c r="H134" t="s">
        <v>9</v>
      </c>
    </row>
    <row r="135" spans="1:8" x14ac:dyDescent="0.3">
      <c r="A135" t="s">
        <v>151</v>
      </c>
      <c r="B135">
        <v>2004</v>
      </c>
      <c r="C135">
        <v>2</v>
      </c>
      <c r="D135">
        <v>4</v>
      </c>
      <c r="E135">
        <v>90</v>
      </c>
      <c r="F135" s="1">
        <v>21367</v>
      </c>
      <c r="G135" s="1">
        <v>50465</v>
      </c>
      <c r="H135" t="s">
        <v>9</v>
      </c>
    </row>
    <row r="136" spans="1:8" x14ac:dyDescent="0.3">
      <c r="A136" t="s">
        <v>152</v>
      </c>
      <c r="B136">
        <v>2017</v>
      </c>
      <c r="C136">
        <v>2</v>
      </c>
      <c r="D136">
        <v>99</v>
      </c>
      <c r="E136">
        <v>30</v>
      </c>
      <c r="F136" s="1">
        <v>21002</v>
      </c>
      <c r="G136" s="1">
        <v>48945</v>
      </c>
      <c r="H136" t="s">
        <v>40</v>
      </c>
    </row>
    <row r="137" spans="1:8" x14ac:dyDescent="0.3">
      <c r="A137" t="s">
        <v>153</v>
      </c>
      <c r="B137">
        <v>2018</v>
      </c>
      <c r="C137">
        <v>2</v>
      </c>
      <c r="D137">
        <v>4</v>
      </c>
      <c r="E137">
        <v>90</v>
      </c>
      <c r="F137" s="1">
        <v>21002</v>
      </c>
      <c r="G137" s="1">
        <v>51533</v>
      </c>
      <c r="H137" t="s">
        <v>12</v>
      </c>
    </row>
    <row r="138" spans="1:8" x14ac:dyDescent="0.3">
      <c r="A138" t="s">
        <v>154</v>
      </c>
      <c r="B138">
        <v>2016</v>
      </c>
      <c r="C138">
        <v>2</v>
      </c>
      <c r="D138">
        <v>8</v>
      </c>
      <c r="E138">
        <v>60</v>
      </c>
      <c r="F138" s="1">
        <v>21002</v>
      </c>
      <c r="G138" s="1">
        <v>42036</v>
      </c>
      <c r="H138" t="s">
        <v>95</v>
      </c>
    </row>
    <row r="139" spans="1:8" x14ac:dyDescent="0.3">
      <c r="A139" t="s">
        <v>155</v>
      </c>
      <c r="B139">
        <v>2016</v>
      </c>
      <c r="C139">
        <v>5</v>
      </c>
      <c r="D139">
        <v>10</v>
      </c>
      <c r="E139">
        <v>45</v>
      </c>
      <c r="F139" s="1">
        <v>21002</v>
      </c>
      <c r="G139" s="1">
        <v>25204</v>
      </c>
      <c r="H139" t="s">
        <v>95</v>
      </c>
    </row>
    <row r="140" spans="1:8" x14ac:dyDescent="0.3">
      <c r="A140" t="s">
        <v>156</v>
      </c>
      <c r="B140">
        <v>2008</v>
      </c>
      <c r="C140">
        <v>2</v>
      </c>
      <c r="D140">
        <v>4</v>
      </c>
      <c r="E140">
        <v>90</v>
      </c>
      <c r="F140" s="1">
        <v>21002</v>
      </c>
      <c r="G140" s="1">
        <v>54089</v>
      </c>
      <c r="H140" t="s">
        <v>40</v>
      </c>
    </row>
    <row r="141" spans="1:8" x14ac:dyDescent="0.3">
      <c r="A141" t="s">
        <v>157</v>
      </c>
      <c r="B141">
        <v>2014</v>
      </c>
      <c r="C141">
        <v>1</v>
      </c>
      <c r="D141">
        <v>4</v>
      </c>
      <c r="E141">
        <v>90</v>
      </c>
      <c r="F141" s="1">
        <v>20637</v>
      </c>
      <c r="G141" s="1">
        <v>24139</v>
      </c>
      <c r="H141" t="s">
        <v>9</v>
      </c>
    </row>
    <row r="142" spans="1:8" x14ac:dyDescent="0.3">
      <c r="A142" t="s">
        <v>158</v>
      </c>
      <c r="B142">
        <v>2016</v>
      </c>
      <c r="C142">
        <v>2</v>
      </c>
      <c r="D142">
        <v>4</v>
      </c>
      <c r="E142">
        <v>45</v>
      </c>
      <c r="F142" s="1">
        <v>20637</v>
      </c>
      <c r="G142" s="1">
        <v>24473</v>
      </c>
      <c r="H142" t="s">
        <v>40</v>
      </c>
    </row>
    <row r="143" spans="1:8" x14ac:dyDescent="0.3">
      <c r="A143" t="s">
        <v>159</v>
      </c>
      <c r="B143">
        <v>2004</v>
      </c>
      <c r="C143">
        <v>2</v>
      </c>
      <c r="D143">
        <v>8</v>
      </c>
      <c r="E143">
        <v>60</v>
      </c>
      <c r="F143" s="1">
        <v>20637</v>
      </c>
      <c r="G143" s="1">
        <v>46419</v>
      </c>
      <c r="H143" t="s">
        <v>97</v>
      </c>
    </row>
    <row r="144" spans="1:8" x14ac:dyDescent="0.3">
      <c r="A144" t="s">
        <v>160</v>
      </c>
      <c r="B144">
        <v>2013</v>
      </c>
      <c r="C144">
        <v>2</v>
      </c>
      <c r="D144">
        <v>4</v>
      </c>
      <c r="E144">
        <v>120</v>
      </c>
      <c r="F144" s="1">
        <v>20637</v>
      </c>
      <c r="G144" s="1">
        <v>27089</v>
      </c>
      <c r="H144" t="s">
        <v>9</v>
      </c>
    </row>
    <row r="145" spans="1:8" x14ac:dyDescent="0.3">
      <c r="A145" t="s">
        <v>161</v>
      </c>
      <c r="B145">
        <v>2005</v>
      </c>
      <c r="C145">
        <v>2</v>
      </c>
      <c r="D145">
        <v>5</v>
      </c>
      <c r="E145">
        <v>60</v>
      </c>
      <c r="F145" s="1">
        <v>20271</v>
      </c>
      <c r="G145" s="1">
        <v>34335</v>
      </c>
      <c r="H145" t="s">
        <v>40</v>
      </c>
    </row>
    <row r="146" spans="1:8" x14ac:dyDescent="0.3">
      <c r="A146" t="s">
        <v>162</v>
      </c>
      <c r="B146">
        <v>2015</v>
      </c>
      <c r="C146">
        <v>2</v>
      </c>
      <c r="D146">
        <v>4</v>
      </c>
      <c r="E146">
        <v>90</v>
      </c>
      <c r="F146" s="1">
        <v>20271</v>
      </c>
      <c r="G146" s="1">
        <v>22313</v>
      </c>
      <c r="H146" t="s">
        <v>12</v>
      </c>
    </row>
    <row r="147" spans="1:8" x14ac:dyDescent="0.3">
      <c r="A147" t="s">
        <v>163</v>
      </c>
      <c r="B147">
        <v>2008</v>
      </c>
      <c r="C147">
        <v>3</v>
      </c>
      <c r="D147">
        <v>5</v>
      </c>
      <c r="E147">
        <v>120</v>
      </c>
      <c r="F147" s="1">
        <v>19906</v>
      </c>
      <c r="G147" s="1">
        <v>20852</v>
      </c>
      <c r="H147" t="s">
        <v>9</v>
      </c>
    </row>
    <row r="148" spans="1:8" x14ac:dyDescent="0.3">
      <c r="A148" t="s">
        <v>164</v>
      </c>
      <c r="B148">
        <v>2015</v>
      </c>
      <c r="C148">
        <v>1</v>
      </c>
      <c r="D148">
        <v>4</v>
      </c>
      <c r="E148">
        <v>90</v>
      </c>
      <c r="F148" s="1">
        <v>19906</v>
      </c>
      <c r="G148" s="1">
        <v>47880</v>
      </c>
      <c r="H148" t="s">
        <v>40</v>
      </c>
    </row>
    <row r="149" spans="1:8" x14ac:dyDescent="0.3">
      <c r="A149" t="s">
        <v>165</v>
      </c>
      <c r="B149">
        <v>2013</v>
      </c>
      <c r="C149">
        <v>2</v>
      </c>
      <c r="D149">
        <v>2</v>
      </c>
      <c r="E149">
        <v>15</v>
      </c>
      <c r="F149" s="1">
        <v>19906</v>
      </c>
      <c r="G149" s="1">
        <v>25934</v>
      </c>
      <c r="H149" t="s">
        <v>40</v>
      </c>
    </row>
    <row r="150" spans="1:8" x14ac:dyDescent="0.3">
      <c r="A150" t="s">
        <v>166</v>
      </c>
      <c r="B150">
        <v>2006</v>
      </c>
      <c r="C150">
        <v>3</v>
      </c>
      <c r="D150">
        <v>5</v>
      </c>
      <c r="E150">
        <v>120</v>
      </c>
      <c r="F150" s="1">
        <v>19906</v>
      </c>
      <c r="G150" s="1">
        <v>50100</v>
      </c>
      <c r="H150" t="s">
        <v>9</v>
      </c>
    </row>
    <row r="151" spans="1:8" x14ac:dyDescent="0.3">
      <c r="A151" t="s">
        <v>167</v>
      </c>
      <c r="B151">
        <v>2000</v>
      </c>
      <c r="C151">
        <v>2</v>
      </c>
      <c r="D151">
        <v>5</v>
      </c>
      <c r="E151">
        <v>100</v>
      </c>
      <c r="F151" s="1">
        <v>19541</v>
      </c>
      <c r="G151" s="1">
        <v>45717</v>
      </c>
      <c r="H151" t="s">
        <v>9</v>
      </c>
    </row>
    <row r="152" spans="1:8" x14ac:dyDescent="0.3">
      <c r="A152" t="s">
        <v>168</v>
      </c>
      <c r="B152">
        <v>2016</v>
      </c>
      <c r="C152">
        <v>1</v>
      </c>
      <c r="D152">
        <v>4</v>
      </c>
      <c r="E152">
        <v>90</v>
      </c>
      <c r="F152" s="1">
        <v>19541</v>
      </c>
      <c r="G152" s="1">
        <v>50437</v>
      </c>
      <c r="H152" t="s">
        <v>9</v>
      </c>
    </row>
    <row r="153" spans="1:8" x14ac:dyDescent="0.3">
      <c r="A153" t="s">
        <v>169</v>
      </c>
      <c r="B153">
        <v>2017</v>
      </c>
      <c r="C153">
        <v>1</v>
      </c>
      <c r="D153">
        <v>4</v>
      </c>
      <c r="E153">
        <v>45</v>
      </c>
      <c r="F153" s="1">
        <v>19541</v>
      </c>
      <c r="G153" s="1">
        <v>33970</v>
      </c>
      <c r="H153" t="s">
        <v>84</v>
      </c>
    </row>
    <row r="154" spans="1:8" x14ac:dyDescent="0.3">
      <c r="A154" t="s">
        <v>170</v>
      </c>
      <c r="B154">
        <v>2011</v>
      </c>
      <c r="C154">
        <v>2</v>
      </c>
      <c r="D154">
        <v>4</v>
      </c>
      <c r="E154">
        <v>90</v>
      </c>
      <c r="F154" s="1">
        <v>19541</v>
      </c>
      <c r="G154" s="2">
        <v>46206</v>
      </c>
      <c r="H154" t="s">
        <v>9</v>
      </c>
    </row>
    <row r="155" spans="1:8" x14ac:dyDescent="0.3">
      <c r="A155" t="s">
        <v>171</v>
      </c>
      <c r="B155">
        <v>2011</v>
      </c>
      <c r="C155">
        <v>2</v>
      </c>
      <c r="D155">
        <v>4</v>
      </c>
      <c r="E155">
        <v>60</v>
      </c>
      <c r="F155" s="1">
        <v>19176</v>
      </c>
      <c r="G155" s="1">
        <v>18660</v>
      </c>
      <c r="H155" t="s">
        <v>28</v>
      </c>
    </row>
    <row r="156" spans="1:8" x14ac:dyDescent="0.3">
      <c r="A156" t="s">
        <v>172</v>
      </c>
      <c r="B156">
        <v>1993</v>
      </c>
      <c r="C156">
        <v>2</v>
      </c>
      <c r="D156">
        <v>2</v>
      </c>
      <c r="E156">
        <v>20</v>
      </c>
      <c r="F156" s="1">
        <v>19176</v>
      </c>
      <c r="G156" s="1">
        <v>44621</v>
      </c>
      <c r="H156" t="s">
        <v>28</v>
      </c>
    </row>
    <row r="157" spans="1:8" x14ac:dyDescent="0.3">
      <c r="A157" t="s">
        <v>173</v>
      </c>
      <c r="B157">
        <v>2009</v>
      </c>
      <c r="C157">
        <v>2</v>
      </c>
      <c r="D157">
        <v>5</v>
      </c>
      <c r="E157">
        <v>90</v>
      </c>
      <c r="F157" s="1">
        <v>19176</v>
      </c>
      <c r="G157" s="1">
        <v>30348</v>
      </c>
      <c r="H157" t="s">
        <v>9</v>
      </c>
    </row>
    <row r="158" spans="1:8" x14ac:dyDescent="0.3">
      <c r="A158" t="s">
        <v>174</v>
      </c>
      <c r="B158">
        <v>2012</v>
      </c>
      <c r="C158">
        <v>1</v>
      </c>
      <c r="D158">
        <v>4</v>
      </c>
      <c r="E158">
        <v>90</v>
      </c>
      <c r="F158" s="1">
        <v>19176</v>
      </c>
      <c r="G158" s="1">
        <v>28522</v>
      </c>
      <c r="H158" t="s">
        <v>9</v>
      </c>
    </row>
    <row r="159" spans="1:8" x14ac:dyDescent="0.3">
      <c r="A159" t="s">
        <v>175</v>
      </c>
      <c r="B159">
        <v>2018</v>
      </c>
      <c r="C159">
        <v>3</v>
      </c>
      <c r="D159">
        <v>5</v>
      </c>
      <c r="E159">
        <v>50</v>
      </c>
      <c r="F159" s="1">
        <v>19176</v>
      </c>
      <c r="G159" s="1">
        <v>44228</v>
      </c>
      <c r="H159" t="s">
        <v>40</v>
      </c>
    </row>
    <row r="160" spans="1:8" x14ac:dyDescent="0.3">
      <c r="A160" t="s">
        <v>176</v>
      </c>
      <c r="B160">
        <v>2009</v>
      </c>
      <c r="C160">
        <v>2</v>
      </c>
      <c r="D160">
        <v>2</v>
      </c>
      <c r="E160">
        <v>30</v>
      </c>
      <c r="F160" s="1">
        <v>18810</v>
      </c>
      <c r="G160" s="1">
        <v>54424</v>
      </c>
      <c r="H160" t="s">
        <v>40</v>
      </c>
    </row>
    <row r="161" spans="1:8" x14ac:dyDescent="0.3">
      <c r="A161" t="s">
        <v>177</v>
      </c>
      <c r="B161">
        <v>2014</v>
      </c>
      <c r="C161">
        <v>4</v>
      </c>
      <c r="D161">
        <v>12</v>
      </c>
      <c r="E161">
        <v>20</v>
      </c>
      <c r="F161" s="1">
        <v>18445</v>
      </c>
      <c r="G161" s="1">
        <v>21916</v>
      </c>
      <c r="H161" t="s">
        <v>95</v>
      </c>
    </row>
    <row r="162" spans="1:8" x14ac:dyDescent="0.3">
      <c r="A162" t="s">
        <v>178</v>
      </c>
      <c r="B162">
        <v>1980</v>
      </c>
      <c r="C162">
        <v>2</v>
      </c>
      <c r="D162">
        <v>7</v>
      </c>
      <c r="E162">
        <v>360</v>
      </c>
      <c r="F162" s="1">
        <v>18445</v>
      </c>
      <c r="G162" s="1">
        <v>24167</v>
      </c>
      <c r="H162" t="s">
        <v>9</v>
      </c>
    </row>
    <row r="163" spans="1:8" x14ac:dyDescent="0.3">
      <c r="A163" t="s">
        <v>179</v>
      </c>
      <c r="B163">
        <v>2013</v>
      </c>
      <c r="C163">
        <v>1</v>
      </c>
      <c r="D163">
        <v>5</v>
      </c>
      <c r="E163">
        <v>120</v>
      </c>
      <c r="F163" s="1">
        <v>54605</v>
      </c>
      <c r="G163" s="1">
        <v>49004</v>
      </c>
      <c r="H163" t="s">
        <v>9</v>
      </c>
    </row>
    <row r="164" spans="1:8" x14ac:dyDescent="0.3">
      <c r="A164" t="s">
        <v>180</v>
      </c>
      <c r="B164">
        <v>2005</v>
      </c>
      <c r="C164">
        <v>2</v>
      </c>
      <c r="D164">
        <v>5</v>
      </c>
      <c r="E164">
        <v>60</v>
      </c>
      <c r="F164" s="1">
        <v>54605</v>
      </c>
      <c r="G164" s="1">
        <v>34001</v>
      </c>
      <c r="H164" t="s">
        <v>9</v>
      </c>
    </row>
    <row r="165" spans="1:8" x14ac:dyDescent="0.3">
      <c r="A165" t="s">
        <v>181</v>
      </c>
      <c r="B165">
        <v>2019</v>
      </c>
      <c r="C165">
        <v>1</v>
      </c>
      <c r="D165">
        <v>5</v>
      </c>
      <c r="E165">
        <v>120</v>
      </c>
      <c r="F165" s="1">
        <v>54605</v>
      </c>
      <c r="G165" s="1">
        <v>32174</v>
      </c>
      <c r="H165" t="s">
        <v>9</v>
      </c>
    </row>
    <row r="166" spans="1:8" x14ac:dyDescent="0.3">
      <c r="A166" t="s">
        <v>182</v>
      </c>
      <c r="B166">
        <v>2016</v>
      </c>
      <c r="C166">
        <v>2</v>
      </c>
      <c r="D166">
        <v>4</v>
      </c>
      <c r="E166">
        <v>20</v>
      </c>
      <c r="F166" s="1">
        <v>54240</v>
      </c>
      <c r="G166" s="1">
        <v>26665</v>
      </c>
      <c r="H166" t="s">
        <v>84</v>
      </c>
    </row>
    <row r="167" spans="1:8" x14ac:dyDescent="0.3">
      <c r="A167" t="s">
        <v>183</v>
      </c>
      <c r="B167">
        <v>2017</v>
      </c>
      <c r="C167">
        <v>2</v>
      </c>
      <c r="D167">
        <v>6</v>
      </c>
      <c r="E167">
        <v>60</v>
      </c>
      <c r="F167" s="1">
        <v>54240</v>
      </c>
      <c r="G167" s="2">
        <v>46083</v>
      </c>
      <c r="H167" t="s">
        <v>9</v>
      </c>
    </row>
    <row r="168" spans="1:8" x14ac:dyDescent="0.3">
      <c r="A168" t="s">
        <v>184</v>
      </c>
      <c r="B168">
        <v>2011</v>
      </c>
      <c r="C168">
        <v>2</v>
      </c>
      <c r="D168">
        <v>4</v>
      </c>
      <c r="E168">
        <v>90</v>
      </c>
      <c r="F168" s="1">
        <v>53874</v>
      </c>
      <c r="G168" s="1">
        <v>21976</v>
      </c>
      <c r="H168" t="s">
        <v>9</v>
      </c>
    </row>
    <row r="169" spans="1:8" x14ac:dyDescent="0.3">
      <c r="A169" t="s">
        <v>185</v>
      </c>
      <c r="B169">
        <v>1999</v>
      </c>
      <c r="C169">
        <v>2</v>
      </c>
      <c r="D169">
        <v>5</v>
      </c>
      <c r="E169">
        <v>60</v>
      </c>
      <c r="F169" s="1">
        <v>53874</v>
      </c>
      <c r="G169" s="1">
        <v>49341</v>
      </c>
      <c r="H169" t="s">
        <v>9</v>
      </c>
    </row>
    <row r="170" spans="1:8" x14ac:dyDescent="0.3">
      <c r="A170" t="s">
        <v>186</v>
      </c>
      <c r="B170">
        <v>2016</v>
      </c>
      <c r="C170">
        <v>2</v>
      </c>
      <c r="D170">
        <v>4</v>
      </c>
      <c r="E170">
        <v>60</v>
      </c>
      <c r="F170" s="1">
        <v>53509</v>
      </c>
      <c r="G170" s="2">
        <v>46236</v>
      </c>
      <c r="H170" t="s">
        <v>9</v>
      </c>
    </row>
    <row r="171" spans="1:8" x14ac:dyDescent="0.3">
      <c r="A171" t="s">
        <v>187</v>
      </c>
      <c r="B171">
        <v>2016</v>
      </c>
      <c r="C171">
        <v>2</v>
      </c>
      <c r="D171">
        <v>8</v>
      </c>
      <c r="E171">
        <v>20</v>
      </c>
      <c r="F171" s="1">
        <v>53509</v>
      </c>
      <c r="G171" s="1">
        <v>48214</v>
      </c>
      <c r="H171" t="s">
        <v>40</v>
      </c>
    </row>
    <row r="172" spans="1:8" x14ac:dyDescent="0.3">
      <c r="A172" t="s">
        <v>188</v>
      </c>
      <c r="B172">
        <v>2017</v>
      </c>
      <c r="C172">
        <v>2</v>
      </c>
      <c r="D172">
        <v>4</v>
      </c>
      <c r="E172">
        <v>60</v>
      </c>
      <c r="F172" s="1">
        <v>53509</v>
      </c>
      <c r="G172" s="1">
        <v>46419</v>
      </c>
      <c r="H172" t="s">
        <v>40</v>
      </c>
    </row>
    <row r="173" spans="1:8" x14ac:dyDescent="0.3">
      <c r="A173" t="s">
        <v>189</v>
      </c>
      <c r="B173">
        <v>2011</v>
      </c>
      <c r="C173">
        <v>3</v>
      </c>
      <c r="D173">
        <v>12</v>
      </c>
      <c r="E173">
        <v>30</v>
      </c>
      <c r="F173" s="1">
        <v>53144</v>
      </c>
      <c r="G173" s="1">
        <v>43466</v>
      </c>
      <c r="H173" t="s">
        <v>95</v>
      </c>
    </row>
    <row r="174" spans="1:8" x14ac:dyDescent="0.3">
      <c r="A174" t="s">
        <v>190</v>
      </c>
      <c r="B174">
        <v>2013</v>
      </c>
      <c r="C174">
        <v>1</v>
      </c>
      <c r="D174">
        <v>4</v>
      </c>
      <c r="E174">
        <v>80</v>
      </c>
      <c r="F174" s="1">
        <v>53144</v>
      </c>
      <c r="G174" s="1">
        <v>35462</v>
      </c>
      <c r="H174" t="s">
        <v>9</v>
      </c>
    </row>
    <row r="175" spans="1:8" x14ac:dyDescent="0.3">
      <c r="A175" t="s">
        <v>191</v>
      </c>
      <c r="B175">
        <v>2014</v>
      </c>
      <c r="C175">
        <v>2</v>
      </c>
      <c r="D175">
        <v>4</v>
      </c>
      <c r="E175">
        <v>30</v>
      </c>
      <c r="F175" s="1">
        <v>53144</v>
      </c>
      <c r="G175" s="1">
        <v>29221</v>
      </c>
      <c r="H175" t="s">
        <v>40</v>
      </c>
    </row>
    <row r="176" spans="1:8" x14ac:dyDescent="0.3">
      <c r="A176" t="s">
        <v>192</v>
      </c>
      <c r="B176">
        <v>1998</v>
      </c>
      <c r="C176">
        <v>2</v>
      </c>
      <c r="D176">
        <v>4</v>
      </c>
      <c r="E176">
        <v>60</v>
      </c>
      <c r="F176" s="1">
        <v>53144</v>
      </c>
      <c r="G176" s="1">
        <v>54455</v>
      </c>
      <c r="H176" t="s">
        <v>9</v>
      </c>
    </row>
    <row r="177" spans="1:8" x14ac:dyDescent="0.3">
      <c r="A177" t="s">
        <v>193</v>
      </c>
      <c r="B177">
        <v>2018</v>
      </c>
      <c r="C177">
        <v>2</v>
      </c>
      <c r="D177">
        <v>4</v>
      </c>
      <c r="E177">
        <v>50</v>
      </c>
      <c r="F177" s="1">
        <v>53144</v>
      </c>
      <c r="G177" s="2">
        <v>46055</v>
      </c>
      <c r="H177" t="s">
        <v>40</v>
      </c>
    </row>
    <row r="178" spans="1:8" x14ac:dyDescent="0.3">
      <c r="A178" t="s">
        <v>194</v>
      </c>
      <c r="B178">
        <v>2008</v>
      </c>
      <c r="C178">
        <v>1</v>
      </c>
      <c r="D178">
        <v>5</v>
      </c>
      <c r="E178">
        <v>30</v>
      </c>
      <c r="F178" s="1">
        <v>52779</v>
      </c>
      <c r="G178" s="1">
        <v>35096</v>
      </c>
      <c r="H178" t="s">
        <v>12</v>
      </c>
    </row>
    <row r="179" spans="1:8" x14ac:dyDescent="0.3">
      <c r="A179" t="s">
        <v>195</v>
      </c>
      <c r="B179">
        <v>2015</v>
      </c>
      <c r="C179">
        <v>2</v>
      </c>
      <c r="D179">
        <v>4</v>
      </c>
      <c r="E179">
        <v>90</v>
      </c>
      <c r="F179" s="1">
        <v>52413</v>
      </c>
      <c r="G179" s="1">
        <v>19391</v>
      </c>
      <c r="H179" t="s">
        <v>12</v>
      </c>
    </row>
    <row r="180" spans="1:8" x14ac:dyDescent="0.3">
      <c r="A180" t="s">
        <v>196</v>
      </c>
      <c r="B180">
        <v>2013</v>
      </c>
      <c r="C180">
        <v>2</v>
      </c>
      <c r="D180">
        <v>4</v>
      </c>
      <c r="E180">
        <v>60</v>
      </c>
      <c r="F180" s="1">
        <v>52413</v>
      </c>
      <c r="G180" s="1">
        <v>27426</v>
      </c>
      <c r="H180" t="s">
        <v>9</v>
      </c>
    </row>
    <row r="181" spans="1:8" x14ac:dyDescent="0.3">
      <c r="A181" t="s">
        <v>197</v>
      </c>
      <c r="B181">
        <v>2018</v>
      </c>
      <c r="C181">
        <v>2</v>
      </c>
      <c r="D181">
        <v>4</v>
      </c>
      <c r="E181">
        <v>45</v>
      </c>
      <c r="F181" s="1">
        <v>52048</v>
      </c>
      <c r="G181" s="1">
        <v>35796</v>
      </c>
      <c r="H181" t="s">
        <v>40</v>
      </c>
    </row>
    <row r="182" spans="1:8" x14ac:dyDescent="0.3">
      <c r="A182" t="s">
        <v>198</v>
      </c>
      <c r="B182">
        <v>2004</v>
      </c>
      <c r="C182">
        <v>2</v>
      </c>
      <c r="D182">
        <v>5</v>
      </c>
      <c r="E182">
        <v>60</v>
      </c>
      <c r="F182" s="1">
        <v>52048</v>
      </c>
      <c r="G182" s="1">
        <v>31048</v>
      </c>
      <c r="H182" t="s">
        <v>40</v>
      </c>
    </row>
    <row r="183" spans="1:8" x14ac:dyDescent="0.3">
      <c r="A183" t="s">
        <v>199</v>
      </c>
      <c r="B183">
        <v>2000</v>
      </c>
      <c r="C183">
        <v>2</v>
      </c>
      <c r="D183">
        <v>2</v>
      </c>
      <c r="E183">
        <v>30</v>
      </c>
      <c r="F183" s="1">
        <v>52048</v>
      </c>
      <c r="G183" s="1">
        <v>32874</v>
      </c>
      <c r="H183" t="s">
        <v>9</v>
      </c>
    </row>
    <row r="184" spans="1:8" x14ac:dyDescent="0.3">
      <c r="A184" t="s">
        <v>200</v>
      </c>
      <c r="B184">
        <v>2000</v>
      </c>
      <c r="C184">
        <v>2</v>
      </c>
      <c r="D184">
        <v>5</v>
      </c>
      <c r="E184">
        <v>45</v>
      </c>
      <c r="F184" s="1">
        <v>52048</v>
      </c>
      <c r="G184" s="1">
        <v>33239</v>
      </c>
      <c r="H184" t="s">
        <v>40</v>
      </c>
    </row>
    <row r="185" spans="1:8" x14ac:dyDescent="0.3">
      <c r="A185" t="s">
        <v>201</v>
      </c>
      <c r="B185">
        <v>2011</v>
      </c>
      <c r="C185">
        <v>3</v>
      </c>
      <c r="D185">
        <v>5</v>
      </c>
      <c r="E185">
        <v>60</v>
      </c>
      <c r="F185" s="1">
        <v>52048</v>
      </c>
      <c r="G185" s="1">
        <v>21582</v>
      </c>
      <c r="H185" t="s">
        <v>9</v>
      </c>
    </row>
    <row r="186" spans="1:8" x14ac:dyDescent="0.3">
      <c r="A186" t="s">
        <v>202</v>
      </c>
      <c r="B186">
        <v>2006</v>
      </c>
      <c r="C186">
        <v>2</v>
      </c>
      <c r="D186">
        <v>5</v>
      </c>
      <c r="E186">
        <v>60</v>
      </c>
      <c r="F186" s="1">
        <v>51683</v>
      </c>
      <c r="G186" s="1">
        <v>45323</v>
      </c>
      <c r="H186" t="s">
        <v>40</v>
      </c>
    </row>
    <row r="187" spans="1:8" x14ac:dyDescent="0.3">
      <c r="A187" t="s">
        <v>203</v>
      </c>
      <c r="B187">
        <v>2010</v>
      </c>
      <c r="C187">
        <v>2</v>
      </c>
      <c r="D187">
        <v>4</v>
      </c>
      <c r="E187">
        <v>180</v>
      </c>
      <c r="F187" s="1">
        <v>51683</v>
      </c>
      <c r="G187" s="1">
        <v>45352</v>
      </c>
      <c r="H187" t="s">
        <v>12</v>
      </c>
    </row>
    <row r="188" spans="1:8" x14ac:dyDescent="0.3">
      <c r="A188" t="s">
        <v>204</v>
      </c>
      <c r="B188">
        <v>2014</v>
      </c>
      <c r="C188">
        <v>1</v>
      </c>
      <c r="D188">
        <v>4</v>
      </c>
      <c r="E188">
        <v>90</v>
      </c>
      <c r="F188" s="1">
        <v>51683</v>
      </c>
      <c r="G188" s="1">
        <v>28157</v>
      </c>
      <c r="H188" t="s">
        <v>9</v>
      </c>
    </row>
    <row r="189" spans="1:8" x14ac:dyDescent="0.3">
      <c r="A189" t="s">
        <v>205</v>
      </c>
      <c r="B189">
        <v>2010</v>
      </c>
      <c r="C189">
        <v>2</v>
      </c>
      <c r="D189">
        <v>4</v>
      </c>
      <c r="E189">
        <v>90</v>
      </c>
      <c r="F189" s="1">
        <v>51683</v>
      </c>
      <c r="G189" s="1">
        <v>20852</v>
      </c>
      <c r="H189" t="s">
        <v>9</v>
      </c>
    </row>
    <row r="190" spans="1:8" x14ac:dyDescent="0.3">
      <c r="A190" t="s">
        <v>206</v>
      </c>
      <c r="B190">
        <v>2007</v>
      </c>
      <c r="C190">
        <v>2</v>
      </c>
      <c r="D190">
        <v>4</v>
      </c>
      <c r="E190">
        <v>60</v>
      </c>
      <c r="F190" s="1">
        <v>51683</v>
      </c>
      <c r="G190" s="1">
        <v>48611</v>
      </c>
      <c r="H190" t="s">
        <v>12</v>
      </c>
    </row>
    <row r="191" spans="1:8" x14ac:dyDescent="0.3">
      <c r="A191" t="s">
        <v>207</v>
      </c>
      <c r="B191">
        <v>2012</v>
      </c>
      <c r="C191">
        <v>2</v>
      </c>
      <c r="D191">
        <v>4</v>
      </c>
      <c r="E191">
        <v>60</v>
      </c>
      <c r="F191" s="1">
        <v>51683</v>
      </c>
      <c r="G191" s="1">
        <v>28157</v>
      </c>
      <c r="H191" t="s">
        <v>9</v>
      </c>
    </row>
    <row r="192" spans="1:8" x14ac:dyDescent="0.3">
      <c r="A192" t="s">
        <v>208</v>
      </c>
      <c r="B192">
        <v>2016</v>
      </c>
      <c r="C192">
        <v>2</v>
      </c>
      <c r="D192">
        <v>4</v>
      </c>
      <c r="E192">
        <v>40</v>
      </c>
      <c r="F192" s="1">
        <v>51318</v>
      </c>
      <c r="G192" s="1">
        <v>43132</v>
      </c>
      <c r="H192" t="s">
        <v>9</v>
      </c>
    </row>
    <row r="193" spans="1:8" x14ac:dyDescent="0.3">
      <c r="A193" t="s">
        <v>209</v>
      </c>
      <c r="B193">
        <v>2011</v>
      </c>
      <c r="C193">
        <v>2</v>
      </c>
      <c r="D193">
        <v>6</v>
      </c>
      <c r="E193">
        <v>60</v>
      </c>
      <c r="F193" s="1">
        <v>51318</v>
      </c>
      <c r="G193" s="1">
        <v>24139</v>
      </c>
      <c r="H193" t="s">
        <v>9</v>
      </c>
    </row>
    <row r="194" spans="1:8" x14ac:dyDescent="0.3">
      <c r="A194" t="s">
        <v>210</v>
      </c>
      <c r="B194">
        <v>2006</v>
      </c>
      <c r="C194">
        <v>1</v>
      </c>
      <c r="D194">
        <v>4</v>
      </c>
      <c r="E194">
        <v>30</v>
      </c>
      <c r="F194" s="1">
        <v>51318</v>
      </c>
      <c r="G194" s="1">
        <v>22313</v>
      </c>
      <c r="H194" t="s">
        <v>9</v>
      </c>
    </row>
    <row r="195" spans="1:8" x14ac:dyDescent="0.3">
      <c r="A195" t="s">
        <v>211</v>
      </c>
      <c r="B195">
        <v>2009</v>
      </c>
      <c r="C195">
        <v>4</v>
      </c>
      <c r="D195">
        <v>8</v>
      </c>
      <c r="E195">
        <v>30</v>
      </c>
      <c r="F195" s="1">
        <v>51318</v>
      </c>
      <c r="G195" s="2">
        <v>46235</v>
      </c>
      <c r="H195" t="s">
        <v>95</v>
      </c>
    </row>
    <row r="196" spans="1:8" x14ac:dyDescent="0.3">
      <c r="A196" t="s">
        <v>212</v>
      </c>
      <c r="B196">
        <v>1992</v>
      </c>
      <c r="C196">
        <v>3</v>
      </c>
      <c r="D196">
        <v>5</v>
      </c>
      <c r="E196">
        <v>45</v>
      </c>
      <c r="F196" s="1">
        <v>51318</v>
      </c>
      <c r="G196" s="1">
        <v>47515</v>
      </c>
      <c r="H196" t="s">
        <v>9</v>
      </c>
    </row>
    <row r="197" spans="1:8" x14ac:dyDescent="0.3">
      <c r="A197" t="s">
        <v>213</v>
      </c>
      <c r="B197">
        <v>2014</v>
      </c>
      <c r="C197">
        <v>2</v>
      </c>
      <c r="D197">
        <v>2</v>
      </c>
      <c r="E197">
        <v>20</v>
      </c>
      <c r="F197" s="1">
        <v>51318</v>
      </c>
      <c r="G197" s="1">
        <v>25934</v>
      </c>
      <c r="H197" t="s">
        <v>84</v>
      </c>
    </row>
    <row r="198" spans="1:8" x14ac:dyDescent="0.3">
      <c r="A198" t="s">
        <v>214</v>
      </c>
      <c r="B198">
        <v>2013</v>
      </c>
      <c r="C198">
        <v>1</v>
      </c>
      <c r="D198">
        <v>4</v>
      </c>
      <c r="E198">
        <v>240</v>
      </c>
      <c r="F198" s="1">
        <v>50952</v>
      </c>
      <c r="G198" s="1">
        <v>35096</v>
      </c>
      <c r="H198" t="s">
        <v>12</v>
      </c>
    </row>
    <row r="199" spans="1:8" x14ac:dyDescent="0.3">
      <c r="A199" t="s">
        <v>215</v>
      </c>
      <c r="B199">
        <v>2009</v>
      </c>
      <c r="C199">
        <v>2</v>
      </c>
      <c r="D199">
        <v>4</v>
      </c>
      <c r="E199">
        <v>90</v>
      </c>
      <c r="F199" s="1">
        <v>50952</v>
      </c>
      <c r="G199" s="1">
        <v>20515</v>
      </c>
      <c r="H199" t="s">
        <v>9</v>
      </c>
    </row>
    <row r="200" spans="1:8" x14ac:dyDescent="0.3">
      <c r="A200" t="s">
        <v>216</v>
      </c>
      <c r="B200">
        <v>2015</v>
      </c>
      <c r="C200">
        <v>2</v>
      </c>
      <c r="D200">
        <v>4</v>
      </c>
      <c r="E200">
        <v>30</v>
      </c>
      <c r="F200" s="1">
        <v>50952</v>
      </c>
      <c r="G200" s="1">
        <v>42401</v>
      </c>
      <c r="H200" t="s">
        <v>40</v>
      </c>
    </row>
    <row r="201" spans="1:8" x14ac:dyDescent="0.3">
      <c r="A201" t="s">
        <v>217</v>
      </c>
      <c r="B201">
        <v>2009</v>
      </c>
      <c r="C201">
        <v>1</v>
      </c>
      <c r="D201">
        <v>4</v>
      </c>
      <c r="E201">
        <v>120</v>
      </c>
      <c r="F201" s="1">
        <v>50587</v>
      </c>
      <c r="G201" s="1">
        <v>41334</v>
      </c>
      <c r="H201" t="s">
        <v>9</v>
      </c>
    </row>
    <row r="202" spans="1:8" x14ac:dyDescent="0.3">
      <c r="A202" t="s">
        <v>218</v>
      </c>
      <c r="B202">
        <v>2017</v>
      </c>
      <c r="C202">
        <v>1</v>
      </c>
      <c r="D202">
        <v>6</v>
      </c>
      <c r="E202">
        <v>75</v>
      </c>
      <c r="F202" s="1">
        <v>50587</v>
      </c>
      <c r="G202" s="1">
        <v>29983</v>
      </c>
      <c r="H202" t="s">
        <v>9</v>
      </c>
    </row>
    <row r="203" spans="1:8" x14ac:dyDescent="0.3">
      <c r="A203" t="s">
        <v>219</v>
      </c>
      <c r="B203">
        <v>2017</v>
      </c>
      <c r="C203">
        <v>2</v>
      </c>
      <c r="D203">
        <v>5</v>
      </c>
      <c r="E203">
        <v>45</v>
      </c>
      <c r="F203" s="1">
        <v>50222</v>
      </c>
      <c r="G203" s="1">
        <v>28126</v>
      </c>
      <c r="H203" t="s">
        <v>40</v>
      </c>
    </row>
    <row r="204" spans="1:8" x14ac:dyDescent="0.3">
      <c r="A204" t="s">
        <v>220</v>
      </c>
      <c r="B204">
        <v>2015</v>
      </c>
      <c r="C204">
        <v>1</v>
      </c>
      <c r="D204">
        <v>5</v>
      </c>
      <c r="E204">
        <v>45</v>
      </c>
      <c r="F204" s="1">
        <v>50222</v>
      </c>
      <c r="G204" s="1">
        <v>42401</v>
      </c>
      <c r="H204" t="s">
        <v>9</v>
      </c>
    </row>
    <row r="205" spans="1:8" x14ac:dyDescent="0.3">
      <c r="A205" t="s">
        <v>221</v>
      </c>
      <c r="B205">
        <v>2012</v>
      </c>
      <c r="C205">
        <v>2</v>
      </c>
      <c r="D205">
        <v>5</v>
      </c>
      <c r="E205">
        <v>120</v>
      </c>
      <c r="F205" s="1">
        <v>49857</v>
      </c>
      <c r="G205" s="1">
        <v>35096</v>
      </c>
      <c r="H205" t="s">
        <v>9</v>
      </c>
    </row>
    <row r="206" spans="1:8" x14ac:dyDescent="0.3">
      <c r="A206" t="s">
        <v>222</v>
      </c>
      <c r="B206">
        <v>2006</v>
      </c>
      <c r="C206">
        <v>2</v>
      </c>
      <c r="D206">
        <v>2</v>
      </c>
      <c r="E206">
        <v>60</v>
      </c>
      <c r="F206" s="1">
        <v>49857</v>
      </c>
      <c r="G206" s="1">
        <v>27791</v>
      </c>
      <c r="H206" t="s">
        <v>12</v>
      </c>
    </row>
    <row r="207" spans="1:8" x14ac:dyDescent="0.3">
      <c r="A207" t="s">
        <v>223</v>
      </c>
      <c r="B207">
        <v>2019</v>
      </c>
      <c r="C207">
        <v>1</v>
      </c>
      <c r="D207">
        <v>6</v>
      </c>
      <c r="E207">
        <v>60</v>
      </c>
      <c r="F207" s="1">
        <v>49857</v>
      </c>
      <c r="G207" s="2">
        <v>46236</v>
      </c>
      <c r="H207" t="s">
        <v>40</v>
      </c>
    </row>
    <row r="208" spans="1:8" x14ac:dyDescent="0.3">
      <c r="A208" t="s">
        <v>224</v>
      </c>
      <c r="B208">
        <v>2017</v>
      </c>
      <c r="C208">
        <v>2</v>
      </c>
      <c r="D208">
        <v>4</v>
      </c>
      <c r="E208">
        <v>45</v>
      </c>
      <c r="F208" s="1">
        <v>49857</v>
      </c>
      <c r="G208" s="1">
        <v>23377</v>
      </c>
      <c r="H208" t="s">
        <v>40</v>
      </c>
    </row>
    <row r="209" spans="1:8" x14ac:dyDescent="0.3">
      <c r="A209" t="s">
        <v>225</v>
      </c>
      <c r="B209">
        <v>2017</v>
      </c>
      <c r="C209">
        <v>2</v>
      </c>
      <c r="D209">
        <v>6</v>
      </c>
      <c r="E209">
        <v>40</v>
      </c>
      <c r="F209" s="1">
        <v>49857</v>
      </c>
      <c r="G209" s="1">
        <v>27030</v>
      </c>
      <c r="H209" t="s">
        <v>40</v>
      </c>
    </row>
    <row r="210" spans="1:8" x14ac:dyDescent="0.3">
      <c r="A210" t="s">
        <v>226</v>
      </c>
      <c r="B210">
        <v>2016</v>
      </c>
      <c r="C210">
        <v>2</v>
      </c>
      <c r="D210">
        <v>4</v>
      </c>
      <c r="E210">
        <v>15</v>
      </c>
      <c r="F210" s="1">
        <v>49491</v>
      </c>
      <c r="G210" s="1">
        <v>44197</v>
      </c>
      <c r="H210" t="s">
        <v>40</v>
      </c>
    </row>
    <row r="211" spans="1:8" x14ac:dyDescent="0.3">
      <c r="A211" t="s">
        <v>227</v>
      </c>
      <c r="B211">
        <v>2007</v>
      </c>
      <c r="C211">
        <v>2</v>
      </c>
      <c r="D211">
        <v>5</v>
      </c>
      <c r="E211">
        <v>75</v>
      </c>
      <c r="F211" s="1">
        <v>49126</v>
      </c>
      <c r="G211" s="1">
        <v>27426</v>
      </c>
      <c r="H211" t="s">
        <v>9</v>
      </c>
    </row>
    <row r="212" spans="1:8" x14ac:dyDescent="0.3">
      <c r="A212" t="s">
        <v>228</v>
      </c>
      <c r="B212">
        <v>1964</v>
      </c>
      <c r="C212">
        <v>2</v>
      </c>
      <c r="D212">
        <v>6</v>
      </c>
      <c r="E212">
        <v>90</v>
      </c>
      <c r="F212" s="1">
        <v>49126</v>
      </c>
      <c r="G212" s="1">
        <v>18295</v>
      </c>
      <c r="H212" t="s">
        <v>9</v>
      </c>
    </row>
    <row r="213" spans="1:8" x14ac:dyDescent="0.3">
      <c r="A213" t="s">
        <v>229</v>
      </c>
      <c r="B213">
        <v>1999</v>
      </c>
      <c r="C213">
        <v>2</v>
      </c>
      <c r="D213">
        <v>4</v>
      </c>
      <c r="E213">
        <v>90</v>
      </c>
      <c r="F213" s="1">
        <v>49126</v>
      </c>
      <c r="G213" s="1">
        <v>29252</v>
      </c>
      <c r="H213" t="s">
        <v>9</v>
      </c>
    </row>
    <row r="214" spans="1:8" x14ac:dyDescent="0.3">
      <c r="A214" t="s">
        <v>230</v>
      </c>
      <c r="B214">
        <v>2019</v>
      </c>
      <c r="C214">
        <v>2</v>
      </c>
      <c r="D214">
        <v>6</v>
      </c>
      <c r="E214">
        <v>30</v>
      </c>
      <c r="F214" s="1">
        <v>48761</v>
      </c>
      <c r="G214" s="1">
        <v>42005</v>
      </c>
      <c r="H214" t="s">
        <v>40</v>
      </c>
    </row>
    <row r="215" spans="1:8" x14ac:dyDescent="0.3">
      <c r="A215" t="s">
        <v>231</v>
      </c>
      <c r="B215">
        <v>1999</v>
      </c>
      <c r="C215">
        <v>3</v>
      </c>
      <c r="D215">
        <v>5</v>
      </c>
      <c r="E215">
        <v>60</v>
      </c>
      <c r="F215" s="1">
        <v>48761</v>
      </c>
      <c r="G215" s="1">
        <v>46784</v>
      </c>
      <c r="H215" t="s">
        <v>9</v>
      </c>
    </row>
    <row r="216" spans="1:8" x14ac:dyDescent="0.3">
      <c r="A216" t="s">
        <v>232</v>
      </c>
      <c r="B216">
        <v>2015</v>
      </c>
      <c r="C216">
        <v>2</v>
      </c>
      <c r="D216">
        <v>2</v>
      </c>
      <c r="E216">
        <v>30</v>
      </c>
      <c r="F216" s="1">
        <v>48761</v>
      </c>
      <c r="G216" s="2">
        <v>46175</v>
      </c>
      <c r="H216" t="s">
        <v>40</v>
      </c>
    </row>
    <row r="217" spans="1:8" x14ac:dyDescent="0.3">
      <c r="A217" t="s">
        <v>233</v>
      </c>
      <c r="B217">
        <v>2014</v>
      </c>
      <c r="C217">
        <v>2</v>
      </c>
      <c r="D217">
        <v>4</v>
      </c>
      <c r="E217">
        <v>60</v>
      </c>
      <c r="F217" s="1">
        <v>48761</v>
      </c>
      <c r="G217" s="1">
        <v>48245</v>
      </c>
      <c r="H217" t="s">
        <v>9</v>
      </c>
    </row>
    <row r="218" spans="1:8" x14ac:dyDescent="0.3">
      <c r="A218" t="s">
        <v>234</v>
      </c>
      <c r="B218">
        <v>2008</v>
      </c>
      <c r="C218">
        <v>1</v>
      </c>
      <c r="D218">
        <v>4</v>
      </c>
      <c r="E218">
        <v>60</v>
      </c>
      <c r="F218" s="1">
        <v>48396</v>
      </c>
      <c r="G218" s="1">
        <v>33270</v>
      </c>
      <c r="H218" t="s">
        <v>9</v>
      </c>
    </row>
    <row r="219" spans="1:8" x14ac:dyDescent="0.3">
      <c r="A219" t="s">
        <v>235</v>
      </c>
      <c r="B219">
        <v>2000</v>
      </c>
      <c r="C219">
        <v>2</v>
      </c>
      <c r="D219">
        <v>2</v>
      </c>
      <c r="E219">
        <v>20</v>
      </c>
      <c r="F219" s="1">
        <v>48396</v>
      </c>
      <c r="G219" s="1">
        <v>48611</v>
      </c>
      <c r="H219" t="s">
        <v>84</v>
      </c>
    </row>
    <row r="220" spans="1:8" x14ac:dyDescent="0.3">
      <c r="A220" t="s">
        <v>236</v>
      </c>
      <c r="B220">
        <v>1982</v>
      </c>
      <c r="C220">
        <v>2</v>
      </c>
      <c r="D220">
        <v>4</v>
      </c>
      <c r="E220">
        <v>60</v>
      </c>
      <c r="F220" s="1">
        <v>48030</v>
      </c>
      <c r="G220" s="1">
        <v>25934</v>
      </c>
      <c r="H220" t="s">
        <v>40</v>
      </c>
    </row>
    <row r="221" spans="1:8" x14ac:dyDescent="0.3">
      <c r="A221" t="s">
        <v>237</v>
      </c>
      <c r="B221">
        <v>1999</v>
      </c>
      <c r="C221">
        <v>2</v>
      </c>
      <c r="D221">
        <v>2</v>
      </c>
      <c r="E221">
        <v>20</v>
      </c>
      <c r="F221" s="1">
        <v>48030</v>
      </c>
      <c r="G221" s="1">
        <v>27030</v>
      </c>
      <c r="H221" t="s">
        <v>40</v>
      </c>
    </row>
    <row r="222" spans="1:8" x14ac:dyDescent="0.3">
      <c r="A222" t="s">
        <v>238</v>
      </c>
      <c r="B222">
        <v>2016</v>
      </c>
      <c r="C222">
        <v>2</v>
      </c>
      <c r="D222">
        <v>8</v>
      </c>
      <c r="E222">
        <v>60</v>
      </c>
      <c r="F222" s="1">
        <v>48030</v>
      </c>
      <c r="G222">
        <v>2</v>
      </c>
      <c r="H222" t="s">
        <v>40</v>
      </c>
    </row>
    <row r="223" spans="1:8" x14ac:dyDescent="0.3">
      <c r="A223" t="s">
        <v>239</v>
      </c>
      <c r="B223">
        <v>2005</v>
      </c>
      <c r="C223">
        <v>2</v>
      </c>
      <c r="D223">
        <v>5</v>
      </c>
      <c r="E223">
        <v>240</v>
      </c>
      <c r="F223" s="1">
        <v>47665</v>
      </c>
      <c r="G223" s="1">
        <v>49004</v>
      </c>
      <c r="H223" t="s">
        <v>12</v>
      </c>
    </row>
    <row r="224" spans="1:8" x14ac:dyDescent="0.3">
      <c r="A224" t="s">
        <v>240</v>
      </c>
      <c r="B224">
        <v>2014</v>
      </c>
      <c r="C224">
        <v>2</v>
      </c>
      <c r="D224">
        <v>5</v>
      </c>
      <c r="E224">
        <v>30</v>
      </c>
      <c r="F224" s="1">
        <v>47665</v>
      </c>
      <c r="G224" s="2">
        <v>46175</v>
      </c>
      <c r="H224" t="s">
        <v>40</v>
      </c>
    </row>
    <row r="225" spans="1:8" x14ac:dyDescent="0.3">
      <c r="A225" t="s">
        <v>241</v>
      </c>
      <c r="B225">
        <v>2012</v>
      </c>
      <c r="C225">
        <v>1</v>
      </c>
      <c r="D225">
        <v>4</v>
      </c>
      <c r="E225">
        <v>90</v>
      </c>
      <c r="F225" s="1">
        <v>47665</v>
      </c>
      <c r="G225" s="1">
        <v>25965</v>
      </c>
      <c r="H225" t="s">
        <v>12</v>
      </c>
    </row>
    <row r="226" spans="1:8" x14ac:dyDescent="0.3">
      <c r="A226" t="s">
        <v>242</v>
      </c>
      <c r="B226">
        <v>2004</v>
      </c>
      <c r="C226">
        <v>2</v>
      </c>
      <c r="D226">
        <v>4</v>
      </c>
      <c r="E226">
        <v>60</v>
      </c>
      <c r="F226" s="1">
        <v>47665</v>
      </c>
      <c r="G226" s="1">
        <v>53724</v>
      </c>
      <c r="H226" t="s">
        <v>9</v>
      </c>
    </row>
    <row r="227" spans="1:8" x14ac:dyDescent="0.3">
      <c r="A227" t="s">
        <v>243</v>
      </c>
      <c r="B227">
        <v>2016</v>
      </c>
      <c r="C227">
        <v>2</v>
      </c>
      <c r="D227">
        <v>4</v>
      </c>
      <c r="E227">
        <v>45</v>
      </c>
      <c r="F227" s="1">
        <v>47665</v>
      </c>
      <c r="G227" s="1">
        <v>45689</v>
      </c>
      <c r="H227" t="s">
        <v>9</v>
      </c>
    </row>
    <row r="228" spans="1:8" x14ac:dyDescent="0.3">
      <c r="A228" t="s">
        <v>244</v>
      </c>
      <c r="B228">
        <v>2015</v>
      </c>
      <c r="C228">
        <v>2</v>
      </c>
      <c r="D228">
        <v>7</v>
      </c>
      <c r="E228">
        <v>42</v>
      </c>
      <c r="F228" s="1">
        <v>47665</v>
      </c>
      <c r="G228" s="1">
        <v>33239</v>
      </c>
      <c r="H228" t="s">
        <v>40</v>
      </c>
    </row>
    <row r="229" spans="1:8" x14ac:dyDescent="0.3">
      <c r="A229" t="s">
        <v>245</v>
      </c>
      <c r="B229">
        <v>2006</v>
      </c>
      <c r="C229">
        <v>2</v>
      </c>
      <c r="D229">
        <v>4</v>
      </c>
      <c r="E229">
        <v>120</v>
      </c>
      <c r="F229" s="1">
        <v>47300</v>
      </c>
      <c r="G229" s="1">
        <v>29983</v>
      </c>
      <c r="H229" t="s">
        <v>9</v>
      </c>
    </row>
    <row r="230" spans="1:8" x14ac:dyDescent="0.3">
      <c r="A230" t="s">
        <v>246</v>
      </c>
      <c r="B230">
        <v>2011</v>
      </c>
      <c r="C230">
        <v>2</v>
      </c>
      <c r="D230">
        <v>5</v>
      </c>
      <c r="E230">
        <v>180</v>
      </c>
      <c r="F230" s="1">
        <v>47300</v>
      </c>
      <c r="G230" s="1">
        <v>45352</v>
      </c>
      <c r="H230" t="s">
        <v>12</v>
      </c>
    </row>
    <row r="231" spans="1:8" x14ac:dyDescent="0.3">
      <c r="A231" t="s">
        <v>247</v>
      </c>
      <c r="B231">
        <v>2016</v>
      </c>
      <c r="C231">
        <v>2</v>
      </c>
      <c r="D231">
        <v>4</v>
      </c>
      <c r="E231">
        <v>60</v>
      </c>
      <c r="F231" s="1">
        <v>47300</v>
      </c>
      <c r="G231" s="1">
        <v>44228</v>
      </c>
      <c r="H231" t="s">
        <v>40</v>
      </c>
    </row>
    <row r="232" spans="1:8" x14ac:dyDescent="0.3">
      <c r="A232" t="s">
        <v>248</v>
      </c>
      <c r="B232">
        <v>2017</v>
      </c>
      <c r="C232">
        <v>2</v>
      </c>
      <c r="D232">
        <v>4</v>
      </c>
      <c r="E232">
        <v>45</v>
      </c>
      <c r="F232" s="1">
        <v>47300</v>
      </c>
      <c r="G232" s="1">
        <v>35431</v>
      </c>
      <c r="H232" t="s">
        <v>40</v>
      </c>
    </row>
    <row r="233" spans="1:8" x14ac:dyDescent="0.3">
      <c r="A233" t="s">
        <v>249</v>
      </c>
      <c r="B233">
        <v>2010</v>
      </c>
      <c r="C233">
        <v>2</v>
      </c>
      <c r="D233">
        <v>4</v>
      </c>
      <c r="E233">
        <v>60</v>
      </c>
      <c r="F233" s="1">
        <v>47300</v>
      </c>
      <c r="G233" s="1">
        <v>23408</v>
      </c>
      <c r="H233" t="s">
        <v>40</v>
      </c>
    </row>
    <row r="234" spans="1:8" x14ac:dyDescent="0.3">
      <c r="A234" t="s">
        <v>250</v>
      </c>
      <c r="B234">
        <v>2018</v>
      </c>
      <c r="C234">
        <v>2</v>
      </c>
      <c r="D234">
        <v>2</v>
      </c>
      <c r="E234">
        <v>45</v>
      </c>
      <c r="F234" s="1">
        <v>46935</v>
      </c>
      <c r="G234" s="1">
        <v>53359</v>
      </c>
      <c r="H234" t="s">
        <v>28</v>
      </c>
    </row>
    <row r="235" spans="1:8" x14ac:dyDescent="0.3">
      <c r="A235" t="s">
        <v>251</v>
      </c>
      <c r="B235">
        <v>2009</v>
      </c>
      <c r="C235">
        <v>5</v>
      </c>
      <c r="D235">
        <v>10</v>
      </c>
      <c r="E235">
        <v>30</v>
      </c>
      <c r="F235" s="1">
        <v>46935</v>
      </c>
      <c r="G235" s="1">
        <v>22282</v>
      </c>
      <c r="H235" t="s">
        <v>95</v>
      </c>
    </row>
    <row r="236" spans="1:8" x14ac:dyDescent="0.3">
      <c r="A236" t="s">
        <v>252</v>
      </c>
      <c r="B236">
        <v>2014</v>
      </c>
      <c r="C236">
        <v>2</v>
      </c>
      <c r="D236">
        <v>4</v>
      </c>
      <c r="E236">
        <v>100</v>
      </c>
      <c r="F236" s="1">
        <v>46935</v>
      </c>
      <c r="G236" s="1">
        <v>25263</v>
      </c>
      <c r="H236" t="s">
        <v>9</v>
      </c>
    </row>
    <row r="237" spans="1:8" x14ac:dyDescent="0.3">
      <c r="A237" t="s">
        <v>253</v>
      </c>
      <c r="B237">
        <v>2011</v>
      </c>
      <c r="C237">
        <v>2</v>
      </c>
      <c r="D237">
        <v>5</v>
      </c>
      <c r="E237">
        <v>90</v>
      </c>
      <c r="F237" s="1">
        <v>46569</v>
      </c>
      <c r="G237" s="1">
        <v>21582</v>
      </c>
      <c r="H237" t="s">
        <v>9</v>
      </c>
    </row>
    <row r="238" spans="1:8" x14ac:dyDescent="0.3">
      <c r="A238" t="s">
        <v>254</v>
      </c>
      <c r="B238">
        <v>2011</v>
      </c>
      <c r="C238">
        <v>2</v>
      </c>
      <c r="D238">
        <v>4</v>
      </c>
      <c r="E238">
        <v>45</v>
      </c>
      <c r="F238" s="1">
        <v>46569</v>
      </c>
      <c r="G238" s="1">
        <v>35796</v>
      </c>
      <c r="H238" t="s">
        <v>40</v>
      </c>
    </row>
    <row r="239" spans="1:8" x14ac:dyDescent="0.3">
      <c r="A239" t="s">
        <v>255</v>
      </c>
      <c r="B239">
        <v>2016</v>
      </c>
      <c r="C239">
        <v>2</v>
      </c>
      <c r="D239">
        <v>8</v>
      </c>
      <c r="E239">
        <v>15</v>
      </c>
      <c r="F239" s="1">
        <v>46204</v>
      </c>
      <c r="G239" s="1">
        <v>46388</v>
      </c>
      <c r="H239" t="s">
        <v>95</v>
      </c>
    </row>
    <row r="240" spans="1:8" x14ac:dyDescent="0.3">
      <c r="A240" t="s">
        <v>256</v>
      </c>
      <c r="B240">
        <v>2005</v>
      </c>
      <c r="C240">
        <v>1</v>
      </c>
      <c r="D240">
        <v>8</v>
      </c>
      <c r="E240">
        <v>240</v>
      </c>
      <c r="F240" s="1">
        <v>46204</v>
      </c>
      <c r="G240" s="1">
        <v>21245</v>
      </c>
      <c r="H240" t="s">
        <v>12</v>
      </c>
    </row>
    <row r="241" spans="1:8" x14ac:dyDescent="0.3">
      <c r="A241" t="s">
        <v>257</v>
      </c>
      <c r="B241">
        <v>2017</v>
      </c>
      <c r="C241">
        <v>2</v>
      </c>
      <c r="D241">
        <v>4</v>
      </c>
      <c r="E241">
        <v>25</v>
      </c>
      <c r="F241" s="1">
        <v>46204</v>
      </c>
      <c r="G241" s="2">
        <v>46267</v>
      </c>
      <c r="H241" t="s">
        <v>40</v>
      </c>
    </row>
    <row r="242" spans="1:8" x14ac:dyDescent="0.3">
      <c r="A242" t="s">
        <v>258</v>
      </c>
      <c r="B242">
        <v>2009</v>
      </c>
      <c r="C242">
        <v>2</v>
      </c>
      <c r="D242">
        <v>5</v>
      </c>
      <c r="E242">
        <v>80</v>
      </c>
      <c r="F242" s="1">
        <v>46204</v>
      </c>
      <c r="G242" s="1">
        <v>49706</v>
      </c>
      <c r="H242" t="s">
        <v>40</v>
      </c>
    </row>
    <row r="243" spans="1:8" x14ac:dyDescent="0.3">
      <c r="A243" t="s">
        <v>259</v>
      </c>
      <c r="B243">
        <v>2008</v>
      </c>
      <c r="C243">
        <v>3</v>
      </c>
      <c r="D243">
        <v>6</v>
      </c>
      <c r="E243">
        <v>30</v>
      </c>
      <c r="F243" s="1">
        <v>46204</v>
      </c>
      <c r="G243" s="1">
        <v>44562</v>
      </c>
      <c r="H243" t="s">
        <v>95</v>
      </c>
    </row>
    <row r="244" spans="1:8" x14ac:dyDescent="0.3">
      <c r="A244" t="s">
        <v>260</v>
      </c>
      <c r="B244">
        <v>2013</v>
      </c>
      <c r="C244">
        <v>2</v>
      </c>
      <c r="D244">
        <v>2</v>
      </c>
      <c r="E244">
        <v>45</v>
      </c>
      <c r="F244" s="1">
        <v>45839</v>
      </c>
      <c r="G244" s="1">
        <v>41306</v>
      </c>
      <c r="H244" t="s">
        <v>40</v>
      </c>
    </row>
    <row r="245" spans="1:8" x14ac:dyDescent="0.3">
      <c r="A245" t="s">
        <v>261</v>
      </c>
      <c r="B245">
        <v>2017</v>
      </c>
      <c r="C245">
        <v>2</v>
      </c>
      <c r="D245">
        <v>2</v>
      </c>
      <c r="E245">
        <v>30</v>
      </c>
      <c r="F245" s="1">
        <v>45839</v>
      </c>
      <c r="G245" s="1">
        <v>21551</v>
      </c>
      <c r="H245" t="s">
        <v>40</v>
      </c>
    </row>
    <row r="246" spans="1:8" x14ac:dyDescent="0.3">
      <c r="A246" t="s">
        <v>262</v>
      </c>
      <c r="B246">
        <v>2010</v>
      </c>
      <c r="C246">
        <v>2</v>
      </c>
      <c r="D246">
        <v>4</v>
      </c>
      <c r="E246">
        <v>60</v>
      </c>
      <c r="F246" s="1">
        <v>45839</v>
      </c>
      <c r="G246" s="1">
        <v>27061</v>
      </c>
      <c r="H246" t="s">
        <v>9</v>
      </c>
    </row>
    <row r="247" spans="1:8" x14ac:dyDescent="0.3">
      <c r="A247" t="s">
        <v>263</v>
      </c>
      <c r="B247">
        <v>1995</v>
      </c>
      <c r="C247">
        <v>2</v>
      </c>
      <c r="D247">
        <v>8</v>
      </c>
      <c r="E247">
        <v>30</v>
      </c>
      <c r="F247" s="1">
        <v>45839</v>
      </c>
      <c r="G247" s="1">
        <v>41275</v>
      </c>
      <c r="H247" t="s">
        <v>40</v>
      </c>
    </row>
    <row r="248" spans="1:8" x14ac:dyDescent="0.3">
      <c r="A248" t="s">
        <v>264</v>
      </c>
      <c r="B248">
        <v>2004</v>
      </c>
      <c r="C248">
        <v>2</v>
      </c>
      <c r="D248">
        <v>4</v>
      </c>
      <c r="E248">
        <v>60</v>
      </c>
      <c r="F248" s="1">
        <v>45839</v>
      </c>
      <c r="G248" s="1">
        <v>47150</v>
      </c>
      <c r="H248" t="s">
        <v>9</v>
      </c>
    </row>
    <row r="249" spans="1:8" x14ac:dyDescent="0.3">
      <c r="A249" t="s">
        <v>265</v>
      </c>
      <c r="B249">
        <v>2011</v>
      </c>
      <c r="C249">
        <v>2</v>
      </c>
      <c r="D249">
        <v>4</v>
      </c>
      <c r="E249">
        <v>60</v>
      </c>
      <c r="F249" s="1">
        <v>45108</v>
      </c>
      <c r="G249" s="1">
        <v>44228</v>
      </c>
      <c r="H249" t="s">
        <v>12</v>
      </c>
    </row>
    <row r="250" spans="1:8" x14ac:dyDescent="0.3">
      <c r="A250" t="s">
        <v>266</v>
      </c>
      <c r="B250">
        <v>2012</v>
      </c>
      <c r="C250">
        <v>2</v>
      </c>
      <c r="D250">
        <v>4</v>
      </c>
      <c r="E250">
        <v>20</v>
      </c>
      <c r="F250" s="1">
        <v>45108</v>
      </c>
      <c r="G250" s="1">
        <v>43466</v>
      </c>
      <c r="H250" t="s">
        <v>40</v>
      </c>
    </row>
    <row r="251" spans="1:8" x14ac:dyDescent="0.3">
      <c r="A251" t="s">
        <v>267</v>
      </c>
      <c r="B251">
        <v>2015</v>
      </c>
      <c r="C251">
        <v>2</v>
      </c>
      <c r="D251">
        <v>4</v>
      </c>
      <c r="E251">
        <v>60</v>
      </c>
      <c r="F251" s="1">
        <v>45108</v>
      </c>
      <c r="G251" s="1">
        <v>27791</v>
      </c>
      <c r="H251" t="s">
        <v>9</v>
      </c>
    </row>
    <row r="252" spans="1:8" x14ac:dyDescent="0.3">
      <c r="A252" t="s">
        <v>268</v>
      </c>
      <c r="B252">
        <v>2011</v>
      </c>
      <c r="C252">
        <v>2</v>
      </c>
      <c r="D252">
        <v>5</v>
      </c>
      <c r="E252">
        <v>60</v>
      </c>
      <c r="F252" s="1">
        <v>44743</v>
      </c>
      <c r="G252" s="1">
        <v>18295</v>
      </c>
      <c r="H252" t="s">
        <v>12</v>
      </c>
    </row>
    <row r="253" spans="1:8" x14ac:dyDescent="0.3">
      <c r="A253" t="s">
        <v>269</v>
      </c>
      <c r="B253">
        <v>2018</v>
      </c>
      <c r="C253">
        <v>2</v>
      </c>
      <c r="D253">
        <v>4</v>
      </c>
      <c r="E253">
        <v>45</v>
      </c>
      <c r="F253" s="1">
        <v>44743</v>
      </c>
      <c r="G253" s="2">
        <v>46267</v>
      </c>
      <c r="H253" t="s">
        <v>40</v>
      </c>
    </row>
    <row r="254" spans="1:8" x14ac:dyDescent="0.3">
      <c r="A254" t="s">
        <v>270</v>
      </c>
      <c r="B254">
        <v>2005</v>
      </c>
      <c r="C254">
        <v>2</v>
      </c>
      <c r="D254">
        <v>4</v>
      </c>
      <c r="E254">
        <v>90</v>
      </c>
      <c r="F254" s="1">
        <v>44743</v>
      </c>
      <c r="G254" s="1">
        <v>44958</v>
      </c>
      <c r="H254" t="s">
        <v>12</v>
      </c>
    </row>
    <row r="255" spans="1:8" x14ac:dyDescent="0.3">
      <c r="A255" t="s">
        <v>271</v>
      </c>
      <c r="B255">
        <v>1997</v>
      </c>
      <c r="C255">
        <v>3</v>
      </c>
      <c r="D255">
        <v>6</v>
      </c>
      <c r="E255">
        <v>30</v>
      </c>
      <c r="F255" s="1">
        <v>44743</v>
      </c>
      <c r="G255" s="1">
        <v>46023</v>
      </c>
      <c r="H255" t="s">
        <v>40</v>
      </c>
    </row>
    <row r="256" spans="1:8" x14ac:dyDescent="0.3">
      <c r="A256" t="s">
        <v>272</v>
      </c>
      <c r="B256">
        <v>2012</v>
      </c>
      <c r="C256">
        <v>2</v>
      </c>
      <c r="D256">
        <v>4</v>
      </c>
      <c r="E256">
        <v>90</v>
      </c>
      <c r="F256" s="1">
        <v>44378</v>
      </c>
      <c r="G256" s="1">
        <v>28157</v>
      </c>
      <c r="H256" t="s">
        <v>12</v>
      </c>
    </row>
    <row r="257" spans="1:8" x14ac:dyDescent="0.3">
      <c r="A257" t="s">
        <v>273</v>
      </c>
      <c r="B257">
        <v>2015</v>
      </c>
      <c r="C257">
        <v>2</v>
      </c>
      <c r="D257">
        <v>4</v>
      </c>
      <c r="E257">
        <v>40</v>
      </c>
      <c r="F257" s="1">
        <v>44378</v>
      </c>
      <c r="G257" s="1">
        <v>53328</v>
      </c>
      <c r="H257" t="s">
        <v>40</v>
      </c>
    </row>
    <row r="258" spans="1:8" x14ac:dyDescent="0.3">
      <c r="A258" t="s">
        <v>274</v>
      </c>
      <c r="B258">
        <v>2011</v>
      </c>
      <c r="C258">
        <v>3</v>
      </c>
      <c r="D258">
        <v>6</v>
      </c>
      <c r="E258">
        <v>45</v>
      </c>
      <c r="F258" s="1">
        <v>44378</v>
      </c>
      <c r="G258" s="1">
        <v>41640</v>
      </c>
      <c r="H258" t="s">
        <v>95</v>
      </c>
    </row>
    <row r="259" spans="1:8" x14ac:dyDescent="0.3">
      <c r="A259" t="s">
        <v>275</v>
      </c>
      <c r="B259">
        <v>2009</v>
      </c>
      <c r="C259">
        <v>1</v>
      </c>
      <c r="D259">
        <v>6</v>
      </c>
      <c r="E259">
        <v>120</v>
      </c>
      <c r="F259" s="1">
        <v>44013</v>
      </c>
      <c r="G259" s="1">
        <v>42401</v>
      </c>
      <c r="H259" t="s">
        <v>12</v>
      </c>
    </row>
    <row r="260" spans="1:8" x14ac:dyDescent="0.3">
      <c r="A260" t="s">
        <v>276</v>
      </c>
      <c r="B260">
        <v>2011</v>
      </c>
      <c r="C260">
        <v>2</v>
      </c>
      <c r="D260">
        <v>6</v>
      </c>
      <c r="E260">
        <v>45</v>
      </c>
      <c r="F260" s="1">
        <v>44013</v>
      </c>
      <c r="G260" s="1">
        <v>44228</v>
      </c>
      <c r="H260" t="s">
        <v>40</v>
      </c>
    </row>
    <row r="261" spans="1:8" x14ac:dyDescent="0.3">
      <c r="A261" t="s">
        <v>277</v>
      </c>
      <c r="B261">
        <v>2015</v>
      </c>
      <c r="C261">
        <v>2</v>
      </c>
      <c r="D261">
        <v>5</v>
      </c>
      <c r="E261">
        <v>30</v>
      </c>
      <c r="F261" s="1">
        <v>44013</v>
      </c>
      <c r="G261" s="1">
        <v>34335</v>
      </c>
      <c r="H261" t="s">
        <v>12</v>
      </c>
    </row>
    <row r="262" spans="1:8" x14ac:dyDescent="0.3">
      <c r="A262" t="s">
        <v>278</v>
      </c>
      <c r="B262">
        <v>2016</v>
      </c>
      <c r="C262">
        <v>2</v>
      </c>
      <c r="D262">
        <v>4</v>
      </c>
      <c r="E262">
        <v>40</v>
      </c>
      <c r="F262" s="1">
        <v>44013</v>
      </c>
      <c r="G262" s="2">
        <v>46024</v>
      </c>
      <c r="H262" t="s">
        <v>40</v>
      </c>
    </row>
    <row r="263" spans="1:8" x14ac:dyDescent="0.3">
      <c r="A263" t="s">
        <v>279</v>
      </c>
      <c r="B263">
        <v>2012</v>
      </c>
      <c r="C263">
        <v>2</v>
      </c>
      <c r="D263">
        <v>2</v>
      </c>
      <c r="E263">
        <v>60</v>
      </c>
      <c r="F263" s="1">
        <v>43647</v>
      </c>
      <c r="G263" s="1">
        <v>35096</v>
      </c>
      <c r="H263" t="s">
        <v>28</v>
      </c>
    </row>
    <row r="264" spans="1:8" x14ac:dyDescent="0.3">
      <c r="A264" t="s">
        <v>280</v>
      </c>
      <c r="B264">
        <v>2017</v>
      </c>
      <c r="C264">
        <v>1</v>
      </c>
      <c r="D264">
        <v>2</v>
      </c>
      <c r="E264">
        <v>40</v>
      </c>
      <c r="F264" s="1">
        <v>43647</v>
      </c>
      <c r="G264" s="1">
        <v>21217</v>
      </c>
      <c r="H264" t="s">
        <v>9</v>
      </c>
    </row>
    <row r="265" spans="1:8" x14ac:dyDescent="0.3">
      <c r="A265" t="s">
        <v>281</v>
      </c>
      <c r="B265">
        <v>2015</v>
      </c>
      <c r="C265">
        <v>2</v>
      </c>
      <c r="D265">
        <v>5</v>
      </c>
      <c r="E265">
        <v>75</v>
      </c>
      <c r="F265" s="1">
        <v>43647</v>
      </c>
      <c r="G265" s="1">
        <v>51167</v>
      </c>
      <c r="H265" t="s">
        <v>40</v>
      </c>
    </row>
    <row r="266" spans="1:8" x14ac:dyDescent="0.3">
      <c r="A266" t="s">
        <v>282</v>
      </c>
      <c r="B266">
        <v>2007</v>
      </c>
      <c r="C266">
        <v>2</v>
      </c>
      <c r="D266">
        <v>5</v>
      </c>
      <c r="E266">
        <v>90</v>
      </c>
      <c r="F266" s="1">
        <v>43647</v>
      </c>
      <c r="G266" s="1">
        <v>52263</v>
      </c>
      <c r="H266" t="s">
        <v>40</v>
      </c>
    </row>
    <row r="267" spans="1:8" x14ac:dyDescent="0.3">
      <c r="A267" t="s">
        <v>283</v>
      </c>
      <c r="B267">
        <v>2011</v>
      </c>
      <c r="C267">
        <v>2</v>
      </c>
      <c r="D267">
        <v>5</v>
      </c>
      <c r="E267">
        <v>75</v>
      </c>
      <c r="F267" s="1">
        <v>43647</v>
      </c>
      <c r="G267" s="1">
        <v>25965</v>
      </c>
      <c r="H267" t="s">
        <v>9</v>
      </c>
    </row>
    <row r="268" spans="1:8" x14ac:dyDescent="0.3">
      <c r="A268" t="s">
        <v>284</v>
      </c>
      <c r="B268">
        <v>2007</v>
      </c>
      <c r="C268">
        <v>2</v>
      </c>
      <c r="D268">
        <v>4</v>
      </c>
      <c r="E268">
        <v>30</v>
      </c>
      <c r="F268" s="1">
        <v>43647</v>
      </c>
      <c r="G268" s="1">
        <v>24838</v>
      </c>
      <c r="H268" t="s">
        <v>40</v>
      </c>
    </row>
    <row r="269" spans="1:8" x14ac:dyDescent="0.3">
      <c r="A269" t="s">
        <v>285</v>
      </c>
      <c r="B269">
        <v>2011</v>
      </c>
      <c r="C269">
        <v>2</v>
      </c>
      <c r="D269">
        <v>6</v>
      </c>
      <c r="E269">
        <v>30</v>
      </c>
      <c r="F269" s="1">
        <v>43282</v>
      </c>
      <c r="G269" s="1">
        <v>54424</v>
      </c>
      <c r="H269" t="s">
        <v>40</v>
      </c>
    </row>
    <row r="270" spans="1:8" x14ac:dyDescent="0.3">
      <c r="A270" t="s">
        <v>286</v>
      </c>
      <c r="B270">
        <v>1999</v>
      </c>
      <c r="C270">
        <v>2</v>
      </c>
      <c r="D270">
        <v>2</v>
      </c>
      <c r="E270">
        <v>30</v>
      </c>
      <c r="F270" s="1">
        <v>43282</v>
      </c>
      <c r="G270" s="1">
        <v>18264</v>
      </c>
      <c r="H270" t="s">
        <v>40</v>
      </c>
    </row>
    <row r="271" spans="1:8" x14ac:dyDescent="0.3">
      <c r="A271" t="s">
        <v>287</v>
      </c>
      <c r="B271">
        <v>2014</v>
      </c>
      <c r="C271">
        <v>2</v>
      </c>
      <c r="D271">
        <v>5</v>
      </c>
      <c r="E271">
        <v>45</v>
      </c>
      <c r="F271" s="1">
        <v>43282</v>
      </c>
      <c r="G271" s="1">
        <v>36161</v>
      </c>
      <c r="H271" t="s">
        <v>40</v>
      </c>
    </row>
    <row r="272" spans="1:8" x14ac:dyDescent="0.3">
      <c r="A272" t="s">
        <v>288</v>
      </c>
      <c r="B272">
        <v>2016</v>
      </c>
      <c r="C272">
        <v>1</v>
      </c>
      <c r="D272">
        <v>5</v>
      </c>
      <c r="E272">
        <v>75</v>
      </c>
      <c r="F272" s="1">
        <v>42917</v>
      </c>
      <c r="G272" s="1">
        <v>21976</v>
      </c>
      <c r="H272" t="s">
        <v>9</v>
      </c>
    </row>
    <row r="273" spans="1:8" x14ac:dyDescent="0.3">
      <c r="A273" t="s">
        <v>289</v>
      </c>
      <c r="B273">
        <v>2012</v>
      </c>
      <c r="C273">
        <v>2</v>
      </c>
      <c r="D273">
        <v>6</v>
      </c>
      <c r="E273">
        <v>60</v>
      </c>
      <c r="F273" s="1">
        <v>42552</v>
      </c>
      <c r="G273" s="1">
        <v>45323</v>
      </c>
      <c r="H273" t="s">
        <v>9</v>
      </c>
    </row>
    <row r="274" spans="1:8" x14ac:dyDescent="0.3">
      <c r="A274" t="s">
        <v>290</v>
      </c>
      <c r="B274">
        <v>2012</v>
      </c>
      <c r="C274">
        <v>1</v>
      </c>
      <c r="D274">
        <v>6</v>
      </c>
      <c r="E274">
        <v>60</v>
      </c>
      <c r="F274" s="1">
        <v>42552</v>
      </c>
      <c r="G274" s="1">
        <v>19756</v>
      </c>
      <c r="H274" t="s">
        <v>12</v>
      </c>
    </row>
    <row r="275" spans="1:8" x14ac:dyDescent="0.3">
      <c r="A275" t="s">
        <v>291</v>
      </c>
      <c r="B275">
        <v>2015</v>
      </c>
      <c r="C275">
        <v>2</v>
      </c>
      <c r="D275">
        <v>4</v>
      </c>
      <c r="E275">
        <v>45</v>
      </c>
      <c r="F275" s="1">
        <v>42186</v>
      </c>
      <c r="G275" s="1">
        <v>27395</v>
      </c>
      <c r="H275" t="s">
        <v>40</v>
      </c>
    </row>
    <row r="276" spans="1:8" x14ac:dyDescent="0.3">
      <c r="A276" t="s">
        <v>292</v>
      </c>
      <c r="B276">
        <v>1995</v>
      </c>
      <c r="C276">
        <v>3</v>
      </c>
      <c r="D276">
        <v>4</v>
      </c>
      <c r="E276">
        <v>120</v>
      </c>
      <c r="F276" s="1">
        <v>42186</v>
      </c>
      <c r="G276" s="1">
        <v>48245</v>
      </c>
      <c r="H276" t="s">
        <v>40</v>
      </c>
    </row>
    <row r="277" spans="1:8" x14ac:dyDescent="0.3">
      <c r="A277" t="s">
        <v>293</v>
      </c>
      <c r="B277">
        <v>2014</v>
      </c>
      <c r="C277">
        <v>3</v>
      </c>
      <c r="D277">
        <v>10</v>
      </c>
      <c r="E277">
        <v>10</v>
      </c>
      <c r="F277" s="1">
        <v>41821</v>
      </c>
      <c r="G277" s="1">
        <v>50771</v>
      </c>
      <c r="H277" t="s">
        <v>95</v>
      </c>
    </row>
    <row r="278" spans="1:8" x14ac:dyDescent="0.3">
      <c r="A278" t="s">
        <v>294</v>
      </c>
      <c r="B278">
        <v>2014</v>
      </c>
      <c r="C278">
        <v>3</v>
      </c>
      <c r="D278">
        <v>5</v>
      </c>
      <c r="E278">
        <v>60</v>
      </c>
      <c r="F278" s="1">
        <v>41821</v>
      </c>
      <c r="G278" s="1">
        <v>23743</v>
      </c>
      <c r="H278" t="s">
        <v>40</v>
      </c>
    </row>
    <row r="279" spans="1:8" x14ac:dyDescent="0.3">
      <c r="A279" t="s">
        <v>295</v>
      </c>
      <c r="B279">
        <v>2013</v>
      </c>
      <c r="C279">
        <v>2</v>
      </c>
      <c r="D279">
        <v>5</v>
      </c>
      <c r="E279">
        <v>45</v>
      </c>
      <c r="F279" s="1">
        <v>41821</v>
      </c>
      <c r="G279" s="2">
        <v>46144</v>
      </c>
      <c r="H279" t="s">
        <v>40</v>
      </c>
    </row>
    <row r="280" spans="1:8" x14ac:dyDescent="0.3">
      <c r="A280" t="s">
        <v>296</v>
      </c>
      <c r="B280">
        <v>2014</v>
      </c>
      <c r="C280">
        <v>2</v>
      </c>
      <c r="D280">
        <v>5</v>
      </c>
      <c r="E280">
        <v>50</v>
      </c>
      <c r="F280" s="1">
        <v>41821</v>
      </c>
      <c r="G280" s="1">
        <v>23012</v>
      </c>
      <c r="H280" t="s">
        <v>40</v>
      </c>
    </row>
    <row r="281" spans="1:8" x14ac:dyDescent="0.3">
      <c r="A281" t="s">
        <v>297</v>
      </c>
      <c r="B281">
        <v>1989</v>
      </c>
      <c r="C281">
        <v>2</v>
      </c>
      <c r="D281">
        <v>5</v>
      </c>
      <c r="E281">
        <v>90</v>
      </c>
      <c r="F281" s="1">
        <v>41821</v>
      </c>
      <c r="G281" s="1">
        <v>42401</v>
      </c>
      <c r="H281" t="s">
        <v>12</v>
      </c>
    </row>
    <row r="282" spans="1:8" x14ac:dyDescent="0.3">
      <c r="A282" t="s">
        <v>298</v>
      </c>
      <c r="B282">
        <v>2011</v>
      </c>
      <c r="C282">
        <v>1</v>
      </c>
      <c r="D282">
        <v>1</v>
      </c>
      <c r="E282">
        <v>25</v>
      </c>
      <c r="F282" s="1">
        <v>41821</v>
      </c>
      <c r="G282" s="1">
        <v>41671</v>
      </c>
      <c r="H282" t="s">
        <v>9</v>
      </c>
    </row>
    <row r="283" spans="1:8" x14ac:dyDescent="0.3">
      <c r="A283" t="s">
        <v>299</v>
      </c>
      <c r="B283">
        <v>2007</v>
      </c>
      <c r="C283">
        <v>2</v>
      </c>
      <c r="D283">
        <v>4</v>
      </c>
      <c r="E283">
        <v>60</v>
      </c>
      <c r="F283" s="1">
        <v>41821</v>
      </c>
      <c r="G283" s="1">
        <v>42401</v>
      </c>
      <c r="H283" t="s">
        <v>40</v>
      </c>
    </row>
    <row r="284" spans="1:8" x14ac:dyDescent="0.3">
      <c r="A284" t="s">
        <v>300</v>
      </c>
      <c r="B284">
        <v>2017</v>
      </c>
      <c r="C284">
        <v>2</v>
      </c>
      <c r="D284">
        <v>4</v>
      </c>
      <c r="E284">
        <v>60</v>
      </c>
      <c r="F284" s="1">
        <v>41456</v>
      </c>
      <c r="G284" s="1">
        <v>46784</v>
      </c>
      <c r="H284" t="s">
        <v>84</v>
      </c>
    </row>
    <row r="285" spans="1:8" x14ac:dyDescent="0.3">
      <c r="A285" t="s">
        <v>301</v>
      </c>
      <c r="B285">
        <v>2014</v>
      </c>
      <c r="C285">
        <v>2</v>
      </c>
      <c r="D285">
        <v>6</v>
      </c>
      <c r="E285">
        <v>60</v>
      </c>
      <c r="F285" s="1">
        <v>41456</v>
      </c>
      <c r="G285" s="1">
        <v>52263</v>
      </c>
      <c r="H285" t="s">
        <v>9</v>
      </c>
    </row>
    <row r="286" spans="1:8" x14ac:dyDescent="0.3">
      <c r="A286" t="s">
        <v>302</v>
      </c>
      <c r="B286">
        <v>2012</v>
      </c>
      <c r="C286">
        <v>2</v>
      </c>
      <c r="D286">
        <v>5</v>
      </c>
      <c r="E286">
        <v>30</v>
      </c>
      <c r="F286" s="1">
        <v>41456</v>
      </c>
      <c r="G286" s="1">
        <v>43466</v>
      </c>
      <c r="H286" t="s">
        <v>40</v>
      </c>
    </row>
    <row r="287" spans="1:8" x14ac:dyDescent="0.3">
      <c r="A287" t="s">
        <v>303</v>
      </c>
      <c r="B287">
        <v>1475</v>
      </c>
      <c r="C287">
        <v>2</v>
      </c>
      <c r="D287">
        <v>2</v>
      </c>
      <c r="E287">
        <v>60</v>
      </c>
      <c r="F287" s="1">
        <v>41456</v>
      </c>
      <c r="G287" s="1">
        <v>25628</v>
      </c>
      <c r="H287" t="s">
        <v>84</v>
      </c>
    </row>
    <row r="288" spans="1:8" x14ac:dyDescent="0.3">
      <c r="A288" t="s">
        <v>304</v>
      </c>
      <c r="B288">
        <v>2005</v>
      </c>
      <c r="C288">
        <v>3</v>
      </c>
      <c r="D288">
        <v>7</v>
      </c>
      <c r="E288">
        <v>80</v>
      </c>
      <c r="F288" s="2">
        <v>46363</v>
      </c>
      <c r="G288" s="1">
        <v>20852</v>
      </c>
      <c r="H288" t="s">
        <v>12</v>
      </c>
    </row>
    <row r="289" spans="1:8" x14ac:dyDescent="0.3">
      <c r="A289" t="s">
        <v>305</v>
      </c>
      <c r="B289">
        <v>2014</v>
      </c>
      <c r="C289">
        <v>2</v>
      </c>
      <c r="D289">
        <v>6</v>
      </c>
      <c r="E289">
        <v>40</v>
      </c>
      <c r="F289" s="2">
        <v>46363</v>
      </c>
      <c r="G289" s="1">
        <v>29952</v>
      </c>
      <c r="H289" t="s">
        <v>40</v>
      </c>
    </row>
    <row r="290" spans="1:8" x14ac:dyDescent="0.3">
      <c r="A290" t="s">
        <v>306</v>
      </c>
      <c r="B290">
        <v>2004</v>
      </c>
      <c r="C290">
        <v>1</v>
      </c>
      <c r="D290">
        <v>4</v>
      </c>
      <c r="E290">
        <v>45</v>
      </c>
      <c r="F290" s="2">
        <v>46363</v>
      </c>
      <c r="G290" s="1">
        <v>33604</v>
      </c>
      <c r="H290" t="s">
        <v>84</v>
      </c>
    </row>
    <row r="291" spans="1:8" x14ac:dyDescent="0.3">
      <c r="A291" t="s">
        <v>307</v>
      </c>
      <c r="B291">
        <v>1999</v>
      </c>
      <c r="C291">
        <v>2</v>
      </c>
      <c r="D291">
        <v>4</v>
      </c>
      <c r="E291">
        <v>60</v>
      </c>
      <c r="F291" s="2">
        <v>46363</v>
      </c>
      <c r="G291" s="1">
        <v>31809</v>
      </c>
      <c r="H291" t="s">
        <v>84</v>
      </c>
    </row>
    <row r="292" spans="1:8" x14ac:dyDescent="0.3">
      <c r="A292" t="s">
        <v>308</v>
      </c>
      <c r="B292">
        <v>2009</v>
      </c>
      <c r="C292">
        <v>2</v>
      </c>
      <c r="D292">
        <v>4</v>
      </c>
      <c r="E292">
        <v>60</v>
      </c>
      <c r="F292" s="2">
        <v>46333</v>
      </c>
      <c r="G292" s="2">
        <v>46358</v>
      </c>
      <c r="H292" t="s">
        <v>40</v>
      </c>
    </row>
    <row r="293" spans="1:8" x14ac:dyDescent="0.3">
      <c r="A293" t="s">
        <v>309</v>
      </c>
      <c r="B293">
        <v>2003</v>
      </c>
      <c r="C293">
        <v>2</v>
      </c>
      <c r="D293">
        <v>2</v>
      </c>
      <c r="E293">
        <v>30</v>
      </c>
      <c r="F293" s="2">
        <v>46302</v>
      </c>
      <c r="G293" s="1">
        <v>36161</v>
      </c>
      <c r="H293" t="s">
        <v>40</v>
      </c>
    </row>
    <row r="294" spans="1:8" x14ac:dyDescent="0.3">
      <c r="A294" t="s">
        <v>310</v>
      </c>
      <c r="B294">
        <v>2006</v>
      </c>
      <c r="C294">
        <v>2</v>
      </c>
      <c r="D294">
        <v>4</v>
      </c>
      <c r="E294">
        <v>60</v>
      </c>
      <c r="F294" s="2">
        <v>46302</v>
      </c>
      <c r="G294" s="1">
        <v>46054</v>
      </c>
      <c r="H294" t="s">
        <v>40</v>
      </c>
    </row>
    <row r="295" spans="1:8" x14ac:dyDescent="0.3">
      <c r="A295" t="s">
        <v>311</v>
      </c>
      <c r="B295">
        <v>2016</v>
      </c>
      <c r="C295">
        <v>2</v>
      </c>
      <c r="D295">
        <v>4</v>
      </c>
      <c r="E295">
        <v>45</v>
      </c>
      <c r="F295" s="2">
        <v>46302</v>
      </c>
      <c r="G295" s="2">
        <v>46083</v>
      </c>
      <c r="H295" t="s">
        <v>40</v>
      </c>
    </row>
    <row r="296" spans="1:8" x14ac:dyDescent="0.3">
      <c r="A296" t="s">
        <v>312</v>
      </c>
      <c r="B296">
        <v>2015</v>
      </c>
      <c r="C296">
        <v>2</v>
      </c>
      <c r="D296">
        <v>4</v>
      </c>
      <c r="E296">
        <v>45</v>
      </c>
      <c r="F296" s="2">
        <v>46302</v>
      </c>
      <c r="G296" s="1">
        <v>29952</v>
      </c>
      <c r="H296" t="s">
        <v>40</v>
      </c>
    </row>
    <row r="297" spans="1:8" x14ac:dyDescent="0.3">
      <c r="A297" t="s">
        <v>313</v>
      </c>
      <c r="B297">
        <v>2014</v>
      </c>
      <c r="C297">
        <v>1</v>
      </c>
      <c r="D297">
        <v>2</v>
      </c>
      <c r="E297">
        <v>15</v>
      </c>
      <c r="F297" s="2">
        <v>46272</v>
      </c>
      <c r="G297" s="1">
        <v>20821</v>
      </c>
      <c r="H297" t="s">
        <v>40</v>
      </c>
    </row>
    <row r="298" spans="1:8" x14ac:dyDescent="0.3">
      <c r="A298" t="s">
        <v>314</v>
      </c>
      <c r="B298">
        <v>1994</v>
      </c>
      <c r="C298">
        <v>2</v>
      </c>
      <c r="D298">
        <v>8</v>
      </c>
      <c r="E298">
        <v>120</v>
      </c>
      <c r="F298" s="2">
        <v>46241</v>
      </c>
      <c r="G298" s="1">
        <v>52263</v>
      </c>
      <c r="H298" t="s">
        <v>9</v>
      </c>
    </row>
    <row r="299" spans="1:8" x14ac:dyDescent="0.3">
      <c r="A299" t="s">
        <v>238</v>
      </c>
      <c r="B299">
        <v>2000</v>
      </c>
      <c r="C299">
        <v>2</v>
      </c>
      <c r="D299">
        <v>8</v>
      </c>
      <c r="E299">
        <v>60</v>
      </c>
      <c r="F299" s="2">
        <v>46241</v>
      </c>
      <c r="G299" s="2">
        <v>46144</v>
      </c>
      <c r="H299" t="s">
        <v>40</v>
      </c>
    </row>
    <row r="300" spans="1:8" x14ac:dyDescent="0.3">
      <c r="A300" t="s">
        <v>315</v>
      </c>
      <c r="B300">
        <v>2010</v>
      </c>
      <c r="C300">
        <v>2</v>
      </c>
      <c r="D300">
        <v>5</v>
      </c>
      <c r="E300">
        <v>25</v>
      </c>
      <c r="F300" s="2">
        <v>46241</v>
      </c>
      <c r="G300" s="1">
        <v>25569</v>
      </c>
      <c r="H300" t="s">
        <v>40</v>
      </c>
    </row>
    <row r="301" spans="1:8" x14ac:dyDescent="0.3">
      <c r="A301" t="s">
        <v>316</v>
      </c>
      <c r="B301">
        <v>1998</v>
      </c>
      <c r="C301">
        <v>2</v>
      </c>
      <c r="D301">
        <v>5</v>
      </c>
      <c r="E301">
        <v>45</v>
      </c>
      <c r="F301" s="2">
        <v>46210</v>
      </c>
      <c r="G301" s="1">
        <v>44228</v>
      </c>
      <c r="H301" t="s">
        <v>84</v>
      </c>
    </row>
    <row r="302" spans="1:8" x14ac:dyDescent="0.3">
      <c r="A302" t="s">
        <v>317</v>
      </c>
      <c r="B302">
        <v>2016</v>
      </c>
      <c r="C302">
        <v>1</v>
      </c>
      <c r="D302">
        <v>2</v>
      </c>
      <c r="E302">
        <v>45</v>
      </c>
      <c r="F302" s="2">
        <v>46210</v>
      </c>
      <c r="G302" s="2">
        <v>46144</v>
      </c>
      <c r="H302" t="s">
        <v>12</v>
      </c>
    </row>
    <row r="303" spans="1:8" x14ac:dyDescent="0.3">
      <c r="A303" t="s">
        <v>318</v>
      </c>
      <c r="B303">
        <v>2004</v>
      </c>
      <c r="C303">
        <v>3</v>
      </c>
      <c r="D303">
        <v>6</v>
      </c>
      <c r="E303">
        <v>60</v>
      </c>
      <c r="F303" s="2">
        <v>46180</v>
      </c>
      <c r="G303" s="1">
        <v>50802</v>
      </c>
      <c r="H303" t="s">
        <v>12</v>
      </c>
    </row>
    <row r="304" spans="1:8" x14ac:dyDescent="0.3">
      <c r="A304" t="s">
        <v>319</v>
      </c>
      <c r="B304">
        <v>2015</v>
      </c>
      <c r="C304">
        <v>1</v>
      </c>
      <c r="D304">
        <v>4</v>
      </c>
      <c r="E304">
        <v>120</v>
      </c>
      <c r="F304" s="2">
        <v>46180</v>
      </c>
      <c r="G304" s="1">
        <v>32905</v>
      </c>
      <c r="H304" t="s">
        <v>12</v>
      </c>
    </row>
    <row r="305" spans="1:8" x14ac:dyDescent="0.3">
      <c r="A305" t="s">
        <v>320</v>
      </c>
      <c r="B305">
        <v>2018</v>
      </c>
      <c r="C305">
        <v>2</v>
      </c>
      <c r="D305">
        <v>6</v>
      </c>
      <c r="E305">
        <v>50</v>
      </c>
      <c r="F305" s="2">
        <v>46180</v>
      </c>
      <c r="G305" s="1">
        <v>51533</v>
      </c>
      <c r="H305" t="s">
        <v>40</v>
      </c>
    </row>
    <row r="306" spans="1:8" x14ac:dyDescent="0.3">
      <c r="A306" t="s">
        <v>321</v>
      </c>
      <c r="B306">
        <v>2017</v>
      </c>
      <c r="C306">
        <v>1</v>
      </c>
      <c r="D306">
        <v>4</v>
      </c>
      <c r="E306">
        <v>60</v>
      </c>
      <c r="F306" s="2">
        <v>46180</v>
      </c>
      <c r="G306" s="1">
        <v>24139</v>
      </c>
      <c r="H306" t="s">
        <v>9</v>
      </c>
    </row>
    <row r="307" spans="1:8" x14ac:dyDescent="0.3">
      <c r="A307" t="s">
        <v>322</v>
      </c>
      <c r="B307">
        <v>2007</v>
      </c>
      <c r="C307">
        <v>2</v>
      </c>
      <c r="D307">
        <v>6</v>
      </c>
      <c r="E307">
        <v>60</v>
      </c>
      <c r="F307" s="2">
        <v>46180</v>
      </c>
      <c r="G307" s="1">
        <v>23743</v>
      </c>
      <c r="H307" t="s">
        <v>40</v>
      </c>
    </row>
    <row r="308" spans="1:8" x14ac:dyDescent="0.3">
      <c r="A308" t="s">
        <v>323</v>
      </c>
      <c r="B308">
        <v>2015</v>
      </c>
      <c r="C308">
        <v>1</v>
      </c>
      <c r="D308">
        <v>5</v>
      </c>
      <c r="E308">
        <v>10</v>
      </c>
      <c r="F308" s="2">
        <v>46180</v>
      </c>
      <c r="G308" s="1">
        <v>24473</v>
      </c>
      <c r="H308" t="s">
        <v>40</v>
      </c>
    </row>
    <row r="309" spans="1:8" x14ac:dyDescent="0.3">
      <c r="A309" t="s">
        <v>324</v>
      </c>
      <c r="B309">
        <v>2012</v>
      </c>
      <c r="C309">
        <v>2</v>
      </c>
      <c r="D309">
        <v>5</v>
      </c>
      <c r="E309">
        <v>45</v>
      </c>
      <c r="F309" s="2">
        <v>46149</v>
      </c>
      <c r="G309" t="s">
        <v>325</v>
      </c>
      <c r="H309" t="s">
        <v>12</v>
      </c>
    </row>
    <row r="310" spans="1:8" x14ac:dyDescent="0.3">
      <c r="A310" t="s">
        <v>326</v>
      </c>
      <c r="B310">
        <v>2017</v>
      </c>
      <c r="C310">
        <v>2</v>
      </c>
      <c r="D310">
        <v>5</v>
      </c>
      <c r="E310">
        <v>30</v>
      </c>
      <c r="F310" s="2">
        <v>46149</v>
      </c>
      <c r="G310" s="2">
        <v>46357</v>
      </c>
      <c r="H310" t="s">
        <v>40</v>
      </c>
    </row>
    <row r="311" spans="1:8" x14ac:dyDescent="0.3">
      <c r="A311" t="s">
        <v>327</v>
      </c>
      <c r="B311">
        <v>2011</v>
      </c>
      <c r="C311">
        <v>2</v>
      </c>
      <c r="D311">
        <v>4</v>
      </c>
      <c r="E311">
        <v>45</v>
      </c>
      <c r="F311" s="2">
        <v>46149</v>
      </c>
      <c r="G311" s="1">
        <v>18295</v>
      </c>
      <c r="H311" t="s">
        <v>9</v>
      </c>
    </row>
    <row r="312" spans="1:8" x14ac:dyDescent="0.3">
      <c r="A312" t="s">
        <v>328</v>
      </c>
      <c r="B312">
        <v>1995</v>
      </c>
      <c r="C312">
        <v>3</v>
      </c>
      <c r="D312">
        <v>5</v>
      </c>
      <c r="E312">
        <v>30</v>
      </c>
      <c r="F312" s="2">
        <v>46149</v>
      </c>
      <c r="G312" s="1">
        <v>18264</v>
      </c>
      <c r="H312" t="s">
        <v>40</v>
      </c>
    </row>
    <row r="313" spans="1:8" x14ac:dyDescent="0.3">
      <c r="A313" t="s">
        <v>329</v>
      </c>
      <c r="B313">
        <v>2017</v>
      </c>
      <c r="C313">
        <v>1</v>
      </c>
      <c r="D313">
        <v>8</v>
      </c>
      <c r="E313">
        <v>15</v>
      </c>
      <c r="F313" s="2">
        <v>46149</v>
      </c>
      <c r="G313" s="1">
        <v>27395</v>
      </c>
      <c r="H313" t="s">
        <v>40</v>
      </c>
    </row>
    <row r="314" spans="1:8" x14ac:dyDescent="0.3">
      <c r="A314" t="s">
        <v>330</v>
      </c>
      <c r="B314">
        <v>2004</v>
      </c>
      <c r="C314">
        <v>3</v>
      </c>
      <c r="D314">
        <v>7</v>
      </c>
      <c r="E314">
        <v>20</v>
      </c>
      <c r="F314" s="2">
        <v>46149</v>
      </c>
      <c r="G314" s="1">
        <v>41640</v>
      </c>
      <c r="H314" t="s">
        <v>40</v>
      </c>
    </row>
    <row r="315" spans="1:8" x14ac:dyDescent="0.3">
      <c r="A315" t="s">
        <v>331</v>
      </c>
      <c r="B315">
        <v>2013</v>
      </c>
      <c r="C315">
        <v>2</v>
      </c>
      <c r="D315">
        <v>5</v>
      </c>
      <c r="E315">
        <v>15</v>
      </c>
      <c r="F315" s="2">
        <v>46149</v>
      </c>
      <c r="G315" s="1">
        <v>42736</v>
      </c>
      <c r="H315" t="s">
        <v>40</v>
      </c>
    </row>
    <row r="316" spans="1:8" x14ac:dyDescent="0.3">
      <c r="A316" t="s">
        <v>332</v>
      </c>
      <c r="B316">
        <v>2014</v>
      </c>
      <c r="C316">
        <v>2</v>
      </c>
      <c r="D316">
        <v>8</v>
      </c>
      <c r="E316">
        <v>30</v>
      </c>
      <c r="F316" s="2">
        <v>46149</v>
      </c>
      <c r="G316" s="1">
        <v>54058</v>
      </c>
      <c r="H316" t="s">
        <v>40</v>
      </c>
    </row>
    <row r="317" spans="1:8" x14ac:dyDescent="0.3">
      <c r="A317" t="s">
        <v>333</v>
      </c>
      <c r="B317">
        <v>1630</v>
      </c>
      <c r="C317">
        <v>2</v>
      </c>
      <c r="D317">
        <v>4</v>
      </c>
      <c r="E317">
        <v>30</v>
      </c>
      <c r="F317" s="2">
        <v>46149</v>
      </c>
      <c r="G317" s="1">
        <v>32874</v>
      </c>
      <c r="H317" t="s">
        <v>84</v>
      </c>
    </row>
    <row r="318" spans="1:8" x14ac:dyDescent="0.3">
      <c r="A318" t="s">
        <v>334</v>
      </c>
      <c r="B318">
        <v>1959</v>
      </c>
      <c r="C318">
        <v>2</v>
      </c>
      <c r="D318">
        <v>7</v>
      </c>
      <c r="E318">
        <v>360</v>
      </c>
      <c r="F318" s="2">
        <v>46119</v>
      </c>
      <c r="G318" s="1">
        <v>49735</v>
      </c>
      <c r="H318" t="s">
        <v>9</v>
      </c>
    </row>
    <row r="319" spans="1:8" x14ac:dyDescent="0.3">
      <c r="A319" t="s">
        <v>335</v>
      </c>
      <c r="B319">
        <v>1997</v>
      </c>
      <c r="C319">
        <v>2</v>
      </c>
      <c r="D319">
        <v>7</v>
      </c>
      <c r="E319">
        <v>45</v>
      </c>
      <c r="F319" s="2">
        <v>46119</v>
      </c>
      <c r="G319" s="1">
        <v>24473</v>
      </c>
      <c r="H319" t="s">
        <v>40</v>
      </c>
    </row>
    <row r="320" spans="1:8" x14ac:dyDescent="0.3">
      <c r="A320" t="s">
        <v>336</v>
      </c>
      <c r="B320">
        <v>2010</v>
      </c>
      <c r="C320">
        <v>1</v>
      </c>
      <c r="D320">
        <v>4</v>
      </c>
      <c r="E320">
        <v>30</v>
      </c>
      <c r="F320" s="2">
        <v>46088</v>
      </c>
      <c r="G320" s="1">
        <v>42036</v>
      </c>
      <c r="H320" t="s">
        <v>9</v>
      </c>
    </row>
    <row r="321" spans="1:8" x14ac:dyDescent="0.3">
      <c r="A321" t="s">
        <v>337</v>
      </c>
      <c r="B321">
        <v>2015</v>
      </c>
      <c r="C321">
        <v>1</v>
      </c>
      <c r="D321">
        <v>7</v>
      </c>
      <c r="E321">
        <v>25</v>
      </c>
      <c r="F321" s="2">
        <v>46088</v>
      </c>
      <c r="G321" s="1">
        <v>29952</v>
      </c>
      <c r="H321" t="s">
        <v>40</v>
      </c>
    </row>
    <row r="322" spans="1:8" x14ac:dyDescent="0.3">
      <c r="A322" t="s">
        <v>338</v>
      </c>
      <c r="B322">
        <v>2018</v>
      </c>
      <c r="C322">
        <v>1</v>
      </c>
      <c r="D322">
        <v>5</v>
      </c>
      <c r="E322">
        <v>45</v>
      </c>
      <c r="F322" s="2">
        <v>46088</v>
      </c>
      <c r="G322" s="1">
        <v>52263</v>
      </c>
      <c r="H322" t="s">
        <v>12</v>
      </c>
    </row>
    <row r="323" spans="1:8" x14ac:dyDescent="0.3">
      <c r="A323" t="s">
        <v>339</v>
      </c>
      <c r="B323">
        <v>2017</v>
      </c>
      <c r="C323">
        <v>1</v>
      </c>
      <c r="D323">
        <v>4</v>
      </c>
      <c r="E323">
        <v>20</v>
      </c>
      <c r="F323" s="2">
        <v>46088</v>
      </c>
      <c r="G323" s="1">
        <v>23743</v>
      </c>
      <c r="H323" t="s">
        <v>9</v>
      </c>
    </row>
    <row r="324" spans="1:8" x14ac:dyDescent="0.3">
      <c r="A324" t="s">
        <v>340</v>
      </c>
      <c r="B324">
        <v>2003</v>
      </c>
      <c r="C324">
        <v>2</v>
      </c>
      <c r="D324">
        <v>6</v>
      </c>
      <c r="E324">
        <v>60</v>
      </c>
      <c r="F324" s="2">
        <v>46088</v>
      </c>
      <c r="G324" s="2">
        <v>46297</v>
      </c>
      <c r="H324" t="s">
        <v>40</v>
      </c>
    </row>
    <row r="325" spans="1:8" x14ac:dyDescent="0.3">
      <c r="A325" t="s">
        <v>341</v>
      </c>
      <c r="B325">
        <v>2008</v>
      </c>
      <c r="C325">
        <v>2</v>
      </c>
      <c r="D325">
        <v>10</v>
      </c>
      <c r="E325">
        <v>60</v>
      </c>
      <c r="F325" s="2">
        <v>46060</v>
      </c>
      <c r="G325" s="1">
        <v>35431</v>
      </c>
      <c r="H325" t="s">
        <v>40</v>
      </c>
    </row>
    <row r="326" spans="1:8" x14ac:dyDescent="0.3">
      <c r="A326" t="s">
        <v>342</v>
      </c>
      <c r="B326">
        <v>2016</v>
      </c>
      <c r="C326">
        <v>2</v>
      </c>
      <c r="D326">
        <v>7</v>
      </c>
      <c r="E326">
        <v>45</v>
      </c>
      <c r="F326" s="2">
        <v>46060</v>
      </c>
      <c r="G326" s="1">
        <v>35065</v>
      </c>
      <c r="H326" t="s">
        <v>9</v>
      </c>
    </row>
    <row r="327" spans="1:8" x14ac:dyDescent="0.3">
      <c r="A327" t="s">
        <v>343</v>
      </c>
      <c r="B327">
        <v>2015</v>
      </c>
      <c r="C327">
        <v>2</v>
      </c>
      <c r="D327">
        <v>4</v>
      </c>
      <c r="E327">
        <v>30</v>
      </c>
      <c r="F327" s="2">
        <v>46029</v>
      </c>
      <c r="G327" s="1">
        <v>47515</v>
      </c>
      <c r="H327" t="s">
        <v>9</v>
      </c>
    </row>
    <row r="328" spans="1:8" x14ac:dyDescent="0.3">
      <c r="A328" t="s">
        <v>344</v>
      </c>
      <c r="B328">
        <v>2006</v>
      </c>
      <c r="C328">
        <v>2</v>
      </c>
      <c r="D328">
        <v>2</v>
      </c>
      <c r="E328">
        <v>30</v>
      </c>
      <c r="F328" s="2">
        <v>46029</v>
      </c>
      <c r="G328" s="1">
        <v>43132</v>
      </c>
      <c r="H328" t="s">
        <v>9</v>
      </c>
    </row>
    <row r="329" spans="1:8" x14ac:dyDescent="0.3">
      <c r="A329" t="s">
        <v>345</v>
      </c>
      <c r="B329">
        <v>2012</v>
      </c>
      <c r="C329">
        <v>2</v>
      </c>
      <c r="D329">
        <v>6</v>
      </c>
      <c r="E329">
        <v>15</v>
      </c>
      <c r="F329" s="2">
        <v>46029</v>
      </c>
      <c r="G329" s="1">
        <v>51502</v>
      </c>
      <c r="H329" t="s">
        <v>95</v>
      </c>
    </row>
    <row r="330" spans="1:8" x14ac:dyDescent="0.3">
      <c r="A330" t="s">
        <v>346</v>
      </c>
      <c r="B330">
        <v>2012</v>
      </c>
      <c r="C330">
        <v>2</v>
      </c>
      <c r="D330">
        <v>2</v>
      </c>
      <c r="E330">
        <v>30</v>
      </c>
      <c r="F330" t="s">
        <v>347</v>
      </c>
      <c r="G330" s="1">
        <v>27030</v>
      </c>
      <c r="H330" t="s">
        <v>40</v>
      </c>
    </row>
    <row r="331" spans="1:8" x14ac:dyDescent="0.3">
      <c r="A331" t="s">
        <v>348</v>
      </c>
      <c r="B331">
        <v>2014</v>
      </c>
      <c r="C331">
        <v>2</v>
      </c>
      <c r="D331">
        <v>6</v>
      </c>
      <c r="E331">
        <v>30</v>
      </c>
      <c r="F331" s="1">
        <v>36312</v>
      </c>
      <c r="G331" s="1">
        <v>43101</v>
      </c>
      <c r="H331" t="s">
        <v>40</v>
      </c>
    </row>
    <row r="332" spans="1:8" x14ac:dyDescent="0.3">
      <c r="A332" t="s">
        <v>349</v>
      </c>
      <c r="B332">
        <v>2012</v>
      </c>
      <c r="C332">
        <v>2</v>
      </c>
      <c r="D332">
        <v>5</v>
      </c>
      <c r="E332">
        <v>45</v>
      </c>
      <c r="F332" s="1">
        <v>36312</v>
      </c>
      <c r="G332" s="1">
        <v>27395</v>
      </c>
      <c r="H332" t="s">
        <v>40</v>
      </c>
    </row>
    <row r="333" spans="1:8" x14ac:dyDescent="0.3">
      <c r="A333" t="s">
        <v>350</v>
      </c>
      <c r="B333">
        <v>2010</v>
      </c>
      <c r="C333">
        <v>2</v>
      </c>
      <c r="D333">
        <v>2</v>
      </c>
      <c r="E333">
        <v>120</v>
      </c>
      <c r="F333" s="1">
        <v>35947</v>
      </c>
      <c r="G333" s="1">
        <v>48611</v>
      </c>
      <c r="H333" t="s">
        <v>9</v>
      </c>
    </row>
    <row r="334" spans="1:8" x14ac:dyDescent="0.3">
      <c r="A334" t="s">
        <v>351</v>
      </c>
      <c r="B334">
        <v>2011</v>
      </c>
      <c r="C334">
        <v>1</v>
      </c>
      <c r="D334">
        <v>8</v>
      </c>
      <c r="E334">
        <v>90</v>
      </c>
      <c r="F334" s="1">
        <v>35947</v>
      </c>
      <c r="G334" s="1">
        <v>49341</v>
      </c>
      <c r="H334" t="s">
        <v>12</v>
      </c>
    </row>
    <row r="335" spans="1:8" x14ac:dyDescent="0.3">
      <c r="A335" t="s">
        <v>352</v>
      </c>
      <c r="B335">
        <v>2015</v>
      </c>
      <c r="C335">
        <v>2</v>
      </c>
      <c r="D335">
        <v>6</v>
      </c>
      <c r="E335">
        <v>30</v>
      </c>
      <c r="F335" s="1">
        <v>35947</v>
      </c>
      <c r="G335" s="1">
        <v>48580</v>
      </c>
      <c r="H335" t="s">
        <v>40</v>
      </c>
    </row>
    <row r="336" spans="1:8" x14ac:dyDescent="0.3">
      <c r="A336" t="s">
        <v>353</v>
      </c>
      <c r="B336">
        <v>2003</v>
      </c>
      <c r="C336">
        <v>2</v>
      </c>
      <c r="D336">
        <v>5</v>
      </c>
      <c r="E336">
        <v>30</v>
      </c>
      <c r="F336" s="1">
        <v>35582</v>
      </c>
      <c r="G336" s="1">
        <v>46753</v>
      </c>
      <c r="H336" t="s">
        <v>40</v>
      </c>
    </row>
    <row r="337" spans="1:8" x14ac:dyDescent="0.3">
      <c r="A337" t="s">
        <v>354</v>
      </c>
      <c r="B337">
        <v>2014</v>
      </c>
      <c r="C337">
        <v>2</v>
      </c>
      <c r="D337">
        <v>6</v>
      </c>
      <c r="E337">
        <v>40</v>
      </c>
      <c r="F337" s="1">
        <v>35217</v>
      </c>
      <c r="G337" s="1">
        <v>31778</v>
      </c>
      <c r="H337" t="s">
        <v>40</v>
      </c>
    </row>
    <row r="338" spans="1:8" x14ac:dyDescent="0.3">
      <c r="A338" t="s">
        <v>355</v>
      </c>
      <c r="B338">
        <v>2011</v>
      </c>
      <c r="C338">
        <v>2</v>
      </c>
      <c r="D338">
        <v>4</v>
      </c>
      <c r="E338">
        <v>45</v>
      </c>
      <c r="F338" s="1">
        <v>35217</v>
      </c>
      <c r="G338" s="2">
        <v>46205</v>
      </c>
      <c r="H338" t="s">
        <v>40</v>
      </c>
    </row>
    <row r="339" spans="1:8" x14ac:dyDescent="0.3">
      <c r="A339" t="s">
        <v>356</v>
      </c>
      <c r="B339">
        <v>2013</v>
      </c>
      <c r="C339">
        <v>3</v>
      </c>
      <c r="D339">
        <v>8</v>
      </c>
      <c r="E339">
        <v>15</v>
      </c>
      <c r="F339" s="1">
        <v>34851</v>
      </c>
      <c r="G339" s="1">
        <v>46388</v>
      </c>
      <c r="H339" t="s">
        <v>95</v>
      </c>
    </row>
    <row r="340" spans="1:8" x14ac:dyDescent="0.3">
      <c r="A340" t="s">
        <v>357</v>
      </c>
      <c r="B340">
        <v>2015</v>
      </c>
      <c r="C340">
        <v>2</v>
      </c>
      <c r="D340">
        <v>10</v>
      </c>
      <c r="E340">
        <v>45</v>
      </c>
      <c r="F340" s="1">
        <v>34851</v>
      </c>
      <c r="G340" s="1">
        <v>48580</v>
      </c>
      <c r="H340" t="s">
        <v>40</v>
      </c>
    </row>
    <row r="341" spans="1:8" x14ac:dyDescent="0.3">
      <c r="A341" t="s">
        <v>358</v>
      </c>
      <c r="B341">
        <v>2017</v>
      </c>
      <c r="C341">
        <v>2</v>
      </c>
      <c r="D341">
        <v>2</v>
      </c>
      <c r="E341">
        <v>120</v>
      </c>
      <c r="F341" s="1">
        <v>34851</v>
      </c>
      <c r="G341" s="1">
        <v>45689</v>
      </c>
      <c r="H341" t="s">
        <v>12</v>
      </c>
    </row>
    <row r="342" spans="1:8" x14ac:dyDescent="0.3">
      <c r="A342" t="s">
        <v>359</v>
      </c>
      <c r="B342">
        <v>2011</v>
      </c>
      <c r="C342">
        <v>2</v>
      </c>
      <c r="D342">
        <v>5</v>
      </c>
      <c r="E342">
        <v>15</v>
      </c>
      <c r="F342" s="1">
        <v>34851</v>
      </c>
      <c r="G342" s="2">
        <v>46082</v>
      </c>
      <c r="H342" t="s">
        <v>360</v>
      </c>
    </row>
    <row r="343" spans="1:8" x14ac:dyDescent="0.3">
      <c r="A343" t="s">
        <v>361</v>
      </c>
      <c r="B343">
        <v>2009</v>
      </c>
      <c r="C343">
        <v>1</v>
      </c>
      <c r="D343">
        <v>5</v>
      </c>
      <c r="E343">
        <v>60</v>
      </c>
      <c r="F343" s="1">
        <v>34486</v>
      </c>
      <c r="G343" s="1">
        <v>18295</v>
      </c>
      <c r="H343" t="s">
        <v>9</v>
      </c>
    </row>
    <row r="344" spans="1:8" x14ac:dyDescent="0.3">
      <c r="A344" t="s">
        <v>362</v>
      </c>
      <c r="B344">
        <v>2017</v>
      </c>
      <c r="C344">
        <v>1</v>
      </c>
      <c r="D344">
        <v>4</v>
      </c>
      <c r="E344">
        <v>180</v>
      </c>
      <c r="F344" s="1">
        <v>34486</v>
      </c>
      <c r="G344" s="1">
        <v>36192</v>
      </c>
      <c r="H344" t="s">
        <v>12</v>
      </c>
    </row>
    <row r="345" spans="1:8" x14ac:dyDescent="0.3">
      <c r="A345" t="s">
        <v>363</v>
      </c>
      <c r="B345">
        <v>2005</v>
      </c>
      <c r="C345">
        <v>3</v>
      </c>
      <c r="D345">
        <v>7</v>
      </c>
      <c r="E345">
        <v>25</v>
      </c>
      <c r="F345" s="1">
        <v>34121</v>
      </c>
      <c r="G345" s="1">
        <v>44197</v>
      </c>
      <c r="H345" t="s">
        <v>95</v>
      </c>
    </row>
    <row r="346" spans="1:8" x14ac:dyDescent="0.3">
      <c r="A346" t="s">
        <v>364</v>
      </c>
      <c r="B346">
        <v>1984</v>
      </c>
      <c r="C346">
        <v>3</v>
      </c>
      <c r="D346">
        <v>6</v>
      </c>
      <c r="E346">
        <v>45</v>
      </c>
      <c r="F346" s="1">
        <v>34121</v>
      </c>
      <c r="G346" s="1">
        <v>26665</v>
      </c>
      <c r="H346" t="s">
        <v>40</v>
      </c>
    </row>
    <row r="347" spans="1:8" x14ac:dyDescent="0.3">
      <c r="A347" t="s">
        <v>365</v>
      </c>
      <c r="B347">
        <v>2015</v>
      </c>
      <c r="C347">
        <v>2</v>
      </c>
      <c r="D347">
        <v>4</v>
      </c>
      <c r="E347">
        <v>30</v>
      </c>
      <c r="F347" s="1">
        <v>33756</v>
      </c>
      <c r="G347" s="1">
        <v>20821</v>
      </c>
      <c r="H347" t="s">
        <v>40</v>
      </c>
    </row>
    <row r="348" spans="1:8" x14ac:dyDescent="0.3">
      <c r="A348" t="s">
        <v>366</v>
      </c>
      <c r="B348">
        <v>1994</v>
      </c>
      <c r="C348">
        <v>2</v>
      </c>
      <c r="D348">
        <v>10</v>
      </c>
      <c r="E348">
        <v>45</v>
      </c>
      <c r="F348" s="1">
        <v>33756</v>
      </c>
      <c r="G348" s="1">
        <v>44197</v>
      </c>
      <c r="H348" t="s">
        <v>40</v>
      </c>
    </row>
    <row r="349" spans="1:8" x14ac:dyDescent="0.3">
      <c r="A349" t="s">
        <v>367</v>
      </c>
      <c r="B349">
        <v>2014</v>
      </c>
      <c r="C349">
        <v>2</v>
      </c>
      <c r="D349">
        <v>4</v>
      </c>
      <c r="E349">
        <v>30</v>
      </c>
      <c r="F349" s="1">
        <v>33756</v>
      </c>
      <c r="G349" s="1">
        <v>25569</v>
      </c>
      <c r="H349" t="s">
        <v>40</v>
      </c>
    </row>
    <row r="350" spans="1:8" x14ac:dyDescent="0.3">
      <c r="A350" t="s">
        <v>368</v>
      </c>
      <c r="B350">
        <v>2016</v>
      </c>
      <c r="C350">
        <v>1</v>
      </c>
      <c r="D350">
        <v>4</v>
      </c>
      <c r="E350">
        <v>60</v>
      </c>
      <c r="F350" s="1">
        <v>33390</v>
      </c>
      <c r="G350" s="1">
        <v>32874</v>
      </c>
      <c r="H350" t="s">
        <v>40</v>
      </c>
    </row>
    <row r="351" spans="1:8" x14ac:dyDescent="0.3">
      <c r="A351" t="s">
        <v>369</v>
      </c>
      <c r="B351">
        <v>2018</v>
      </c>
      <c r="C351">
        <v>2</v>
      </c>
      <c r="D351">
        <v>4</v>
      </c>
      <c r="E351">
        <v>15</v>
      </c>
      <c r="F351" s="1">
        <v>33390</v>
      </c>
      <c r="G351" s="2">
        <v>46235</v>
      </c>
      <c r="H351" t="s">
        <v>40</v>
      </c>
    </row>
    <row r="352" spans="1:8" x14ac:dyDescent="0.3">
      <c r="A352" t="s">
        <v>370</v>
      </c>
      <c r="B352">
        <v>2010</v>
      </c>
      <c r="C352">
        <v>2</v>
      </c>
      <c r="D352">
        <v>2</v>
      </c>
      <c r="E352">
        <v>15</v>
      </c>
      <c r="F352" s="1">
        <v>33025</v>
      </c>
      <c r="G352" s="1">
        <v>29952</v>
      </c>
      <c r="H352" t="s">
        <v>9</v>
      </c>
    </row>
    <row r="353" spans="1:8" x14ac:dyDescent="0.3">
      <c r="A353" t="s">
        <v>371</v>
      </c>
      <c r="B353">
        <v>1800</v>
      </c>
      <c r="C353">
        <v>2</v>
      </c>
      <c r="D353">
        <v>6</v>
      </c>
      <c r="E353">
        <v>30</v>
      </c>
      <c r="F353" s="1">
        <v>33025</v>
      </c>
      <c r="G353" s="1">
        <v>46023</v>
      </c>
      <c r="H353" t="s">
        <v>40</v>
      </c>
    </row>
    <row r="354" spans="1:8" x14ac:dyDescent="0.3">
      <c r="A354" t="s">
        <v>372</v>
      </c>
      <c r="B354">
        <v>2014</v>
      </c>
      <c r="C354">
        <v>4</v>
      </c>
      <c r="D354">
        <v>8</v>
      </c>
      <c r="E354">
        <v>30</v>
      </c>
      <c r="F354" s="1">
        <v>32660</v>
      </c>
      <c r="G354" s="1">
        <v>46023</v>
      </c>
      <c r="H354" t="s">
        <v>95</v>
      </c>
    </row>
    <row r="355" spans="1:8" x14ac:dyDescent="0.3">
      <c r="A355" t="s">
        <v>373</v>
      </c>
      <c r="B355">
        <v>2005</v>
      </c>
      <c r="C355">
        <v>2</v>
      </c>
      <c r="D355">
        <v>6</v>
      </c>
      <c r="E355">
        <v>240</v>
      </c>
      <c r="F355" s="1">
        <v>32295</v>
      </c>
      <c r="G355" s="1">
        <v>24869</v>
      </c>
      <c r="H355" t="s">
        <v>12</v>
      </c>
    </row>
    <row r="356" spans="1:8" x14ac:dyDescent="0.3">
      <c r="A356" t="s">
        <v>374</v>
      </c>
      <c r="B356">
        <v>2014</v>
      </c>
      <c r="C356">
        <v>3</v>
      </c>
      <c r="D356">
        <v>8</v>
      </c>
      <c r="E356">
        <v>15</v>
      </c>
      <c r="F356" s="1">
        <v>32295</v>
      </c>
      <c r="G356" s="1">
        <v>45292</v>
      </c>
      <c r="H356" t="s">
        <v>95</v>
      </c>
    </row>
    <row r="357" spans="1:8" x14ac:dyDescent="0.3">
      <c r="A357" t="s">
        <v>375</v>
      </c>
      <c r="B357">
        <v>2000</v>
      </c>
      <c r="C357">
        <v>2</v>
      </c>
      <c r="D357">
        <v>4</v>
      </c>
      <c r="E357">
        <v>20</v>
      </c>
      <c r="F357" s="1">
        <v>32295</v>
      </c>
      <c r="G357" s="1">
        <v>28126</v>
      </c>
      <c r="H357" t="s">
        <v>84</v>
      </c>
    </row>
    <row r="358" spans="1:8" x14ac:dyDescent="0.3">
      <c r="A358" t="s">
        <v>376</v>
      </c>
      <c r="B358">
        <v>2012</v>
      </c>
      <c r="C358">
        <v>2</v>
      </c>
      <c r="D358">
        <v>5</v>
      </c>
      <c r="E358">
        <v>15</v>
      </c>
      <c r="F358" s="1">
        <v>32295</v>
      </c>
      <c r="G358" s="2">
        <v>46357</v>
      </c>
      <c r="H358" t="s">
        <v>40</v>
      </c>
    </row>
    <row r="359" spans="1:8" x14ac:dyDescent="0.3">
      <c r="A359" t="s">
        <v>377</v>
      </c>
      <c r="B359">
        <v>2013</v>
      </c>
      <c r="C359">
        <v>2</v>
      </c>
      <c r="D359">
        <v>4</v>
      </c>
      <c r="E359">
        <v>45</v>
      </c>
      <c r="F359" s="1">
        <v>31564</v>
      </c>
      <c r="G359" s="1">
        <v>54058</v>
      </c>
      <c r="H359" t="s">
        <v>40</v>
      </c>
    </row>
    <row r="360" spans="1:8" x14ac:dyDescent="0.3">
      <c r="A360" t="s">
        <v>378</v>
      </c>
      <c r="B360">
        <v>1980</v>
      </c>
      <c r="C360">
        <v>2</v>
      </c>
      <c r="D360">
        <v>4</v>
      </c>
      <c r="E360">
        <v>30</v>
      </c>
      <c r="F360" s="1">
        <v>31199</v>
      </c>
      <c r="G360" s="1">
        <v>42370</v>
      </c>
      <c r="H360" t="s">
        <v>40</v>
      </c>
    </row>
    <row r="361" spans="1:8" x14ac:dyDescent="0.3">
      <c r="A361" t="s">
        <v>379</v>
      </c>
      <c r="B361">
        <v>1995</v>
      </c>
      <c r="C361">
        <v>2</v>
      </c>
      <c r="D361">
        <v>6</v>
      </c>
      <c r="E361">
        <v>45</v>
      </c>
      <c r="F361" s="1">
        <v>30468</v>
      </c>
      <c r="G361" s="1">
        <v>35065</v>
      </c>
      <c r="H361" t="s">
        <v>9</v>
      </c>
    </row>
    <row r="362" spans="1:8" x14ac:dyDescent="0.3">
      <c r="A362" t="s">
        <v>380</v>
      </c>
      <c r="B362">
        <v>2007</v>
      </c>
      <c r="C362">
        <v>2</v>
      </c>
      <c r="D362">
        <v>5</v>
      </c>
      <c r="E362">
        <v>45</v>
      </c>
      <c r="F362" s="1">
        <v>30468</v>
      </c>
      <c r="G362" s="1">
        <v>31413</v>
      </c>
      <c r="H362" t="s">
        <v>40</v>
      </c>
    </row>
    <row r="363" spans="1:8" x14ac:dyDescent="0.3">
      <c r="A363" t="s">
        <v>381</v>
      </c>
      <c r="B363">
        <v>2016</v>
      </c>
      <c r="C363">
        <v>2</v>
      </c>
      <c r="D363">
        <v>4</v>
      </c>
      <c r="E363">
        <v>30</v>
      </c>
      <c r="F363" s="1">
        <v>30468</v>
      </c>
      <c r="G363" s="2">
        <v>46054</v>
      </c>
      <c r="H363" t="s">
        <v>360</v>
      </c>
    </row>
    <row r="364" spans="1:8" x14ac:dyDescent="0.3">
      <c r="A364" t="s">
        <v>382</v>
      </c>
      <c r="B364">
        <v>2005</v>
      </c>
      <c r="C364">
        <v>2</v>
      </c>
      <c r="D364">
        <v>4</v>
      </c>
      <c r="E364">
        <v>15</v>
      </c>
      <c r="F364" s="1">
        <v>30103</v>
      </c>
      <c r="G364" s="2">
        <v>46143</v>
      </c>
      <c r="H364" t="s">
        <v>360</v>
      </c>
    </row>
    <row r="365" spans="1:8" x14ac:dyDescent="0.3">
      <c r="A365" t="s">
        <v>383</v>
      </c>
      <c r="B365">
        <v>2013</v>
      </c>
      <c r="C365">
        <v>4</v>
      </c>
      <c r="D365">
        <v>12</v>
      </c>
      <c r="E365">
        <v>40</v>
      </c>
      <c r="F365" s="1">
        <v>30103</v>
      </c>
      <c r="G365" s="1">
        <v>51136</v>
      </c>
      <c r="H365" t="s">
        <v>95</v>
      </c>
    </row>
    <row r="366" spans="1:8" x14ac:dyDescent="0.3">
      <c r="A366" t="s">
        <v>384</v>
      </c>
      <c r="B366">
        <v>2005</v>
      </c>
      <c r="C366">
        <v>3</v>
      </c>
      <c r="D366">
        <v>8</v>
      </c>
      <c r="E366">
        <v>30</v>
      </c>
      <c r="F366" s="1">
        <v>30103</v>
      </c>
      <c r="G366" s="2">
        <v>46327</v>
      </c>
      <c r="H366" t="s">
        <v>40</v>
      </c>
    </row>
    <row r="367" spans="1:8" x14ac:dyDescent="0.3">
      <c r="A367" t="s">
        <v>385</v>
      </c>
      <c r="B367">
        <v>2010</v>
      </c>
      <c r="C367">
        <v>2</v>
      </c>
      <c r="D367">
        <v>4</v>
      </c>
      <c r="E367">
        <v>30</v>
      </c>
      <c r="F367" s="1">
        <v>29007</v>
      </c>
      <c r="G367" s="1">
        <v>27030</v>
      </c>
      <c r="H367" t="s">
        <v>40</v>
      </c>
    </row>
    <row r="368" spans="1:8" x14ac:dyDescent="0.3">
      <c r="A368" t="s">
        <v>386</v>
      </c>
      <c r="B368">
        <v>1992</v>
      </c>
      <c r="C368">
        <v>2</v>
      </c>
      <c r="D368">
        <v>4</v>
      </c>
      <c r="E368">
        <v>10</v>
      </c>
      <c r="F368" s="1">
        <v>28642</v>
      </c>
      <c r="G368" s="2">
        <v>46143</v>
      </c>
      <c r="H368" t="s">
        <v>360</v>
      </c>
    </row>
    <row r="369" spans="1:8" x14ac:dyDescent="0.3">
      <c r="A369" t="s">
        <v>387</v>
      </c>
      <c r="B369">
        <v>2006</v>
      </c>
      <c r="C369">
        <v>2</v>
      </c>
      <c r="D369">
        <v>4</v>
      </c>
      <c r="E369">
        <v>45</v>
      </c>
      <c r="F369" s="1">
        <v>28642</v>
      </c>
      <c r="G369" s="1">
        <v>23012</v>
      </c>
      <c r="H369" t="s">
        <v>84</v>
      </c>
    </row>
    <row r="370" spans="1:8" x14ac:dyDescent="0.3">
      <c r="A370" t="s">
        <v>388</v>
      </c>
      <c r="B370">
        <v>2011</v>
      </c>
      <c r="C370">
        <v>2</v>
      </c>
      <c r="D370">
        <v>4</v>
      </c>
      <c r="E370">
        <v>30</v>
      </c>
      <c r="F370" s="1">
        <v>27912</v>
      </c>
      <c r="G370" s="1">
        <v>35431</v>
      </c>
      <c r="H370" t="s">
        <v>9</v>
      </c>
    </row>
    <row r="371" spans="1:8" x14ac:dyDescent="0.3">
      <c r="A371" t="s">
        <v>389</v>
      </c>
      <c r="B371">
        <v>2000</v>
      </c>
      <c r="C371">
        <v>2</v>
      </c>
      <c r="D371">
        <v>5</v>
      </c>
      <c r="E371">
        <v>90</v>
      </c>
      <c r="F371" s="1">
        <v>27546</v>
      </c>
      <c r="G371" s="1">
        <v>20486</v>
      </c>
      <c r="H371" t="s">
        <v>12</v>
      </c>
    </row>
    <row r="372" spans="1:8" x14ac:dyDescent="0.3">
      <c r="A372" t="s">
        <v>390</v>
      </c>
      <c r="B372">
        <v>2012</v>
      </c>
      <c r="C372">
        <v>2</v>
      </c>
      <c r="D372">
        <v>4</v>
      </c>
      <c r="E372">
        <v>45</v>
      </c>
      <c r="F372" s="1">
        <v>27546</v>
      </c>
      <c r="G372" s="2">
        <v>46175</v>
      </c>
      <c r="H372" t="s">
        <v>9</v>
      </c>
    </row>
    <row r="373" spans="1:8" x14ac:dyDescent="0.3">
      <c r="A373" t="s">
        <v>391</v>
      </c>
      <c r="B373">
        <v>2004</v>
      </c>
      <c r="C373">
        <v>2</v>
      </c>
      <c r="D373">
        <v>5</v>
      </c>
      <c r="E373">
        <v>30</v>
      </c>
      <c r="F373" s="1">
        <v>26816</v>
      </c>
      <c r="G373" s="1">
        <v>28126</v>
      </c>
      <c r="H373" t="s">
        <v>40</v>
      </c>
    </row>
    <row r="374" spans="1:8" x14ac:dyDescent="0.3">
      <c r="A374" t="s">
        <v>392</v>
      </c>
      <c r="B374">
        <v>1996</v>
      </c>
      <c r="C374">
        <v>2</v>
      </c>
      <c r="D374">
        <v>2</v>
      </c>
      <c r="E374">
        <v>120</v>
      </c>
      <c r="F374" s="1">
        <v>26451</v>
      </c>
      <c r="G374" s="1">
        <v>52994</v>
      </c>
      <c r="H374" t="s">
        <v>9</v>
      </c>
    </row>
    <row r="375" spans="1:8" x14ac:dyDescent="0.3">
      <c r="A375" t="s">
        <v>393</v>
      </c>
      <c r="B375">
        <v>2010</v>
      </c>
      <c r="C375">
        <v>2</v>
      </c>
      <c r="D375">
        <v>8</v>
      </c>
      <c r="E375">
        <v>15</v>
      </c>
      <c r="F375" s="1">
        <v>26085</v>
      </c>
      <c r="G375" s="2">
        <v>46327</v>
      </c>
      <c r="H375" t="s">
        <v>40</v>
      </c>
    </row>
    <row r="376" spans="1:8" x14ac:dyDescent="0.3">
      <c r="A376" t="s">
        <v>394</v>
      </c>
      <c r="B376">
        <v>2004</v>
      </c>
      <c r="C376">
        <v>2</v>
      </c>
      <c r="D376">
        <v>6</v>
      </c>
      <c r="E376">
        <v>20</v>
      </c>
      <c r="F376" s="1">
        <v>26085</v>
      </c>
      <c r="G376" s="2">
        <v>46357</v>
      </c>
      <c r="H376" t="s">
        <v>95</v>
      </c>
    </row>
    <row r="377" spans="1:8" x14ac:dyDescent="0.3">
      <c r="A377" t="s">
        <v>395</v>
      </c>
      <c r="B377">
        <v>2010</v>
      </c>
      <c r="C377">
        <v>2</v>
      </c>
      <c r="D377">
        <v>8</v>
      </c>
      <c r="E377">
        <v>20</v>
      </c>
      <c r="F377" s="1">
        <v>26085</v>
      </c>
      <c r="G377" s="1">
        <v>42005</v>
      </c>
      <c r="H377" t="s">
        <v>40</v>
      </c>
    </row>
    <row r="378" spans="1:8" x14ac:dyDescent="0.3">
      <c r="A378" t="s">
        <v>396</v>
      </c>
      <c r="B378">
        <v>2015</v>
      </c>
      <c r="C378">
        <v>1</v>
      </c>
      <c r="D378">
        <v>5</v>
      </c>
      <c r="E378">
        <v>20</v>
      </c>
      <c r="F378" s="1">
        <v>26085</v>
      </c>
      <c r="G378" s="1">
        <v>46023</v>
      </c>
      <c r="H378" t="s">
        <v>40</v>
      </c>
    </row>
    <row r="379" spans="1:8" x14ac:dyDescent="0.3">
      <c r="A379" t="s">
        <v>397</v>
      </c>
      <c r="B379">
        <v>2003</v>
      </c>
      <c r="C379">
        <v>2</v>
      </c>
      <c r="D379">
        <v>4</v>
      </c>
      <c r="E379">
        <v>20</v>
      </c>
      <c r="F379" s="1">
        <v>25720</v>
      </c>
      <c r="G379" s="1">
        <v>53328</v>
      </c>
      <c r="H379" t="s">
        <v>84</v>
      </c>
    </row>
    <row r="380" spans="1:8" x14ac:dyDescent="0.3">
      <c r="A380" t="s">
        <v>398</v>
      </c>
      <c r="B380">
        <v>2001</v>
      </c>
      <c r="C380">
        <v>2</v>
      </c>
      <c r="D380">
        <v>5</v>
      </c>
      <c r="E380">
        <v>240</v>
      </c>
      <c r="F380" s="1">
        <v>25720</v>
      </c>
      <c r="G380" s="1">
        <v>26330</v>
      </c>
      <c r="H380" t="s">
        <v>97</v>
      </c>
    </row>
    <row r="381" spans="1:8" x14ac:dyDescent="0.3">
      <c r="A381" t="s">
        <v>399</v>
      </c>
      <c r="B381">
        <v>2016</v>
      </c>
      <c r="C381">
        <v>1</v>
      </c>
      <c r="D381">
        <v>4</v>
      </c>
      <c r="E381">
        <v>45</v>
      </c>
      <c r="F381" s="1">
        <v>24990</v>
      </c>
      <c r="G381" s="1">
        <v>31809</v>
      </c>
      <c r="H381" t="s">
        <v>9</v>
      </c>
    </row>
    <row r="382" spans="1:8" x14ac:dyDescent="0.3">
      <c r="A382" t="s">
        <v>400</v>
      </c>
      <c r="B382">
        <v>2004</v>
      </c>
      <c r="C382">
        <v>2</v>
      </c>
      <c r="D382">
        <v>8</v>
      </c>
      <c r="E382">
        <v>20</v>
      </c>
      <c r="F382" s="1">
        <v>24624</v>
      </c>
      <c r="G382" s="1">
        <v>45292</v>
      </c>
      <c r="H382" t="s">
        <v>84</v>
      </c>
    </row>
    <row r="383" spans="1:8" x14ac:dyDescent="0.3">
      <c r="A383" t="s">
        <v>401</v>
      </c>
      <c r="B383">
        <v>2015</v>
      </c>
      <c r="C383">
        <v>2</v>
      </c>
      <c r="D383">
        <v>2</v>
      </c>
      <c r="E383">
        <v>20</v>
      </c>
      <c r="F383" s="1">
        <v>24259</v>
      </c>
      <c r="G383" s="1">
        <v>21186</v>
      </c>
      <c r="H383" t="s">
        <v>9</v>
      </c>
    </row>
    <row r="384" spans="1:8" x14ac:dyDescent="0.3">
      <c r="A384" t="s">
        <v>402</v>
      </c>
      <c r="B384">
        <v>2009</v>
      </c>
      <c r="C384">
        <v>1</v>
      </c>
      <c r="D384">
        <v>6</v>
      </c>
      <c r="E384">
        <v>60</v>
      </c>
      <c r="F384" s="1">
        <v>23894</v>
      </c>
      <c r="G384" s="1">
        <v>24108</v>
      </c>
      <c r="H384" t="s">
        <v>40</v>
      </c>
    </row>
    <row r="385" spans="1:8" x14ac:dyDescent="0.3">
      <c r="A385" t="s">
        <v>403</v>
      </c>
      <c r="B385">
        <v>2012</v>
      </c>
      <c r="C385">
        <v>2</v>
      </c>
      <c r="D385">
        <v>4</v>
      </c>
      <c r="E385">
        <v>30</v>
      </c>
      <c r="F385" s="1">
        <v>23163</v>
      </c>
      <c r="G385" s="1">
        <v>19360</v>
      </c>
      <c r="H385" t="s">
        <v>40</v>
      </c>
    </row>
    <row r="386" spans="1:8" x14ac:dyDescent="0.3">
      <c r="A386" t="s">
        <v>404</v>
      </c>
      <c r="B386">
        <v>2009</v>
      </c>
      <c r="C386">
        <v>2</v>
      </c>
      <c r="D386">
        <v>8</v>
      </c>
      <c r="E386">
        <v>15</v>
      </c>
      <c r="F386" s="1">
        <v>23163</v>
      </c>
      <c r="G386" s="2">
        <v>46082</v>
      </c>
      <c r="H386" t="s">
        <v>95</v>
      </c>
    </row>
    <row r="387" spans="1:8" x14ac:dyDescent="0.3">
      <c r="A387" t="s">
        <v>405</v>
      </c>
      <c r="B387">
        <v>1998</v>
      </c>
      <c r="C387">
        <v>2</v>
      </c>
      <c r="D387">
        <v>2</v>
      </c>
      <c r="E387">
        <v>40</v>
      </c>
      <c r="F387" s="1">
        <v>23163</v>
      </c>
      <c r="G387" s="2">
        <v>46175</v>
      </c>
      <c r="H387" t="s">
        <v>84</v>
      </c>
    </row>
    <row r="388" spans="1:8" x14ac:dyDescent="0.3">
      <c r="A388" t="s">
        <v>406</v>
      </c>
      <c r="B388">
        <v>2013</v>
      </c>
      <c r="C388">
        <v>2</v>
      </c>
      <c r="D388">
        <v>13</v>
      </c>
      <c r="E388">
        <v>30</v>
      </c>
      <c r="F388" s="1">
        <v>22798</v>
      </c>
      <c r="G388" s="1">
        <v>19360</v>
      </c>
      <c r="H388" t="s">
        <v>95</v>
      </c>
    </row>
    <row r="389" spans="1:8" x14ac:dyDescent="0.3">
      <c r="A389" t="s">
        <v>407</v>
      </c>
      <c r="B389">
        <v>2013</v>
      </c>
      <c r="C389">
        <v>2</v>
      </c>
      <c r="D389">
        <v>4</v>
      </c>
      <c r="E389">
        <v>30</v>
      </c>
      <c r="F389" s="1">
        <v>22068</v>
      </c>
      <c r="G389" s="1">
        <v>44927</v>
      </c>
      <c r="H389" t="s">
        <v>40</v>
      </c>
    </row>
    <row r="390" spans="1:8" x14ac:dyDescent="0.3">
      <c r="A390" t="s">
        <v>408</v>
      </c>
      <c r="B390">
        <v>2014</v>
      </c>
      <c r="C390">
        <v>2</v>
      </c>
      <c r="D390">
        <v>5</v>
      </c>
      <c r="E390">
        <v>45</v>
      </c>
      <c r="F390" s="1">
        <v>22068</v>
      </c>
      <c r="G390" s="2">
        <v>46267</v>
      </c>
      <c r="H390" t="s">
        <v>9</v>
      </c>
    </row>
    <row r="391" spans="1:8" x14ac:dyDescent="0.3">
      <c r="A391" t="s">
        <v>409</v>
      </c>
      <c r="B391">
        <v>2004</v>
      </c>
      <c r="C391">
        <v>3</v>
      </c>
      <c r="D391">
        <v>10</v>
      </c>
      <c r="E391">
        <v>30</v>
      </c>
      <c r="F391" s="1">
        <v>21337</v>
      </c>
      <c r="G391" s="1">
        <v>48580</v>
      </c>
      <c r="H391" t="s">
        <v>40</v>
      </c>
    </row>
    <row r="392" spans="1:8" x14ac:dyDescent="0.3">
      <c r="A392" t="s">
        <v>410</v>
      </c>
      <c r="B392">
        <v>2002</v>
      </c>
      <c r="C392">
        <v>3</v>
      </c>
      <c r="D392">
        <v>5</v>
      </c>
      <c r="E392">
        <v>90</v>
      </c>
      <c r="F392" s="1">
        <v>20972</v>
      </c>
      <c r="G392" s="2">
        <v>46024</v>
      </c>
      <c r="H392" t="s">
        <v>40</v>
      </c>
    </row>
    <row r="393" spans="1:8" x14ac:dyDescent="0.3">
      <c r="A393" t="s">
        <v>411</v>
      </c>
      <c r="B393">
        <v>2007</v>
      </c>
      <c r="C393">
        <v>2</v>
      </c>
      <c r="D393">
        <v>4</v>
      </c>
      <c r="E393">
        <v>45</v>
      </c>
      <c r="F393" s="1">
        <v>20607</v>
      </c>
      <c r="G393" s="1">
        <v>24108</v>
      </c>
      <c r="H393" t="s">
        <v>95</v>
      </c>
    </row>
    <row r="394" spans="1:8" x14ac:dyDescent="0.3">
      <c r="A394" t="s">
        <v>412</v>
      </c>
      <c r="B394">
        <v>1995</v>
      </c>
      <c r="C394">
        <v>4</v>
      </c>
      <c r="D394">
        <v>8</v>
      </c>
      <c r="E394">
        <v>60</v>
      </c>
      <c r="F394" s="1">
        <v>20607</v>
      </c>
      <c r="G394" s="1">
        <v>47119</v>
      </c>
      <c r="H394" t="s">
        <v>95</v>
      </c>
    </row>
    <row r="395" spans="1:8" x14ac:dyDescent="0.3">
      <c r="A395" t="s">
        <v>413</v>
      </c>
      <c r="B395">
        <v>1981</v>
      </c>
      <c r="C395">
        <v>2</v>
      </c>
      <c r="D395">
        <v>5</v>
      </c>
      <c r="E395">
        <v>180</v>
      </c>
      <c r="F395" s="1">
        <v>20607</v>
      </c>
      <c r="G395" s="2">
        <v>46115</v>
      </c>
      <c r="H395" t="s">
        <v>97</v>
      </c>
    </row>
    <row r="396" spans="1:8" x14ac:dyDescent="0.3">
      <c r="A396" t="s">
        <v>414</v>
      </c>
      <c r="B396">
        <v>2005</v>
      </c>
      <c r="C396">
        <v>2</v>
      </c>
      <c r="D396">
        <v>7</v>
      </c>
      <c r="E396">
        <v>20</v>
      </c>
      <c r="F396" s="1">
        <v>20607</v>
      </c>
      <c r="G396" s="1">
        <v>42005</v>
      </c>
      <c r="H396" t="s">
        <v>40</v>
      </c>
    </row>
    <row r="397" spans="1:8" x14ac:dyDescent="0.3">
      <c r="A397" t="s">
        <v>415</v>
      </c>
      <c r="B397">
        <v>2012</v>
      </c>
      <c r="C397">
        <v>2</v>
      </c>
      <c r="D397">
        <v>8</v>
      </c>
      <c r="E397">
        <v>40</v>
      </c>
      <c r="F397" s="1">
        <v>20241</v>
      </c>
      <c r="G397" s="1">
        <v>51867</v>
      </c>
      <c r="H397" t="s">
        <v>84</v>
      </c>
    </row>
    <row r="398" spans="1:8" x14ac:dyDescent="0.3">
      <c r="A398" t="s">
        <v>416</v>
      </c>
      <c r="B398">
        <v>-3000</v>
      </c>
      <c r="C398">
        <v>2</v>
      </c>
      <c r="D398">
        <v>2</v>
      </c>
      <c r="E398">
        <v>30</v>
      </c>
      <c r="F398" s="1">
        <v>19876</v>
      </c>
      <c r="G398" s="2">
        <v>46055</v>
      </c>
      <c r="H398" t="s">
        <v>84</v>
      </c>
    </row>
    <row r="399" spans="1:8" x14ac:dyDescent="0.3">
      <c r="A399" t="s">
        <v>417</v>
      </c>
      <c r="B399">
        <v>1998</v>
      </c>
      <c r="C399">
        <v>2</v>
      </c>
      <c r="D399">
        <v>5</v>
      </c>
      <c r="E399">
        <v>30</v>
      </c>
      <c r="F399" s="1">
        <v>19511</v>
      </c>
      <c r="G399" s="1">
        <v>46388</v>
      </c>
      <c r="H399" t="s">
        <v>40</v>
      </c>
    </row>
    <row r="400" spans="1:8" x14ac:dyDescent="0.3">
      <c r="A400" t="s">
        <v>418</v>
      </c>
      <c r="B400">
        <v>2007</v>
      </c>
      <c r="C400">
        <v>2</v>
      </c>
      <c r="D400">
        <v>6</v>
      </c>
      <c r="E400">
        <v>90</v>
      </c>
      <c r="F400" s="1">
        <v>19146</v>
      </c>
      <c r="G400" s="1">
        <v>43497</v>
      </c>
      <c r="H400" t="s">
        <v>12</v>
      </c>
    </row>
    <row r="401" spans="1:8" x14ac:dyDescent="0.3">
      <c r="A401" t="s">
        <v>419</v>
      </c>
      <c r="B401">
        <v>1983</v>
      </c>
      <c r="C401">
        <v>3</v>
      </c>
      <c r="D401">
        <v>6</v>
      </c>
      <c r="E401">
        <v>45</v>
      </c>
      <c r="F401" s="1">
        <v>18780</v>
      </c>
      <c r="G401" s="1">
        <v>35065</v>
      </c>
      <c r="H401" t="s">
        <v>40</v>
      </c>
    </row>
    <row r="402" spans="1:8" x14ac:dyDescent="0.3">
      <c r="A402" t="s">
        <v>420</v>
      </c>
      <c r="B402">
        <v>2002</v>
      </c>
      <c r="C402">
        <v>4</v>
      </c>
      <c r="D402">
        <v>7</v>
      </c>
      <c r="E402">
        <v>40</v>
      </c>
      <c r="F402" s="1">
        <v>18780</v>
      </c>
      <c r="G402" s="1">
        <v>23377</v>
      </c>
      <c r="H402" t="s">
        <v>95</v>
      </c>
    </row>
    <row r="403" spans="1:8" x14ac:dyDescent="0.3">
      <c r="A403" t="s">
        <v>421</v>
      </c>
      <c r="B403">
        <v>1997</v>
      </c>
      <c r="C403">
        <v>2</v>
      </c>
      <c r="D403">
        <v>8</v>
      </c>
      <c r="E403">
        <v>10</v>
      </c>
      <c r="F403" s="1">
        <v>18415</v>
      </c>
      <c r="G403" s="1">
        <v>41640</v>
      </c>
      <c r="H403" t="s">
        <v>95</v>
      </c>
    </row>
    <row r="404" spans="1:8" x14ac:dyDescent="0.3">
      <c r="A404" t="s">
        <v>422</v>
      </c>
      <c r="B404">
        <v>1988</v>
      </c>
      <c r="C404">
        <v>1</v>
      </c>
      <c r="D404">
        <v>20</v>
      </c>
      <c r="E404">
        <v>30</v>
      </c>
      <c r="F404" s="1">
        <v>54210</v>
      </c>
      <c r="G404" s="1">
        <v>24838</v>
      </c>
      <c r="H404" t="s">
        <v>84</v>
      </c>
    </row>
    <row r="405" spans="1:8" x14ac:dyDescent="0.3">
      <c r="A405" t="s">
        <v>423</v>
      </c>
      <c r="B405">
        <v>2015</v>
      </c>
      <c r="C405">
        <v>2</v>
      </c>
      <c r="D405">
        <v>4</v>
      </c>
      <c r="E405">
        <v>40</v>
      </c>
      <c r="F405" s="1">
        <v>53844</v>
      </c>
      <c r="G405" s="1">
        <v>19025</v>
      </c>
      <c r="H405" t="s">
        <v>28</v>
      </c>
    </row>
    <row r="406" spans="1:8" x14ac:dyDescent="0.3">
      <c r="A406" t="s">
        <v>424</v>
      </c>
      <c r="B406">
        <v>2016</v>
      </c>
      <c r="C406">
        <v>3</v>
      </c>
      <c r="D406">
        <v>10</v>
      </c>
      <c r="E406">
        <v>90</v>
      </c>
      <c r="F406" s="1">
        <v>51653</v>
      </c>
      <c r="G406" s="2">
        <v>46113</v>
      </c>
      <c r="H406" t="s">
        <v>95</v>
      </c>
    </row>
    <row r="407" spans="1:8" x14ac:dyDescent="0.3">
      <c r="A407" t="s">
        <v>425</v>
      </c>
      <c r="B407">
        <v>1986</v>
      </c>
      <c r="C407">
        <v>2</v>
      </c>
      <c r="D407">
        <v>4</v>
      </c>
      <c r="E407">
        <v>20</v>
      </c>
      <c r="F407" s="1">
        <v>51653</v>
      </c>
      <c r="G407" s="1">
        <v>50041</v>
      </c>
      <c r="H407" t="s">
        <v>40</v>
      </c>
    </row>
    <row r="408" spans="1:8" x14ac:dyDescent="0.3">
      <c r="A408" t="s">
        <v>426</v>
      </c>
      <c r="B408">
        <v>1903</v>
      </c>
      <c r="C408">
        <v>3</v>
      </c>
      <c r="D408">
        <v>8</v>
      </c>
      <c r="E408">
        <v>90</v>
      </c>
      <c r="F408" s="1">
        <v>50922</v>
      </c>
      <c r="G408" s="1">
        <v>42370</v>
      </c>
      <c r="H408" t="s">
        <v>40</v>
      </c>
    </row>
    <row r="409" spans="1:8" x14ac:dyDescent="0.3">
      <c r="A409" t="s">
        <v>427</v>
      </c>
      <c r="B409">
        <v>1977</v>
      </c>
      <c r="C409">
        <v>2</v>
      </c>
      <c r="D409">
        <v>4</v>
      </c>
      <c r="E409">
        <v>60</v>
      </c>
      <c r="F409" s="1">
        <v>50557</v>
      </c>
      <c r="G409" s="1">
        <v>27395</v>
      </c>
      <c r="H409" t="s">
        <v>40</v>
      </c>
    </row>
    <row r="410" spans="1:8" x14ac:dyDescent="0.3">
      <c r="A410" t="s">
        <v>428</v>
      </c>
      <c r="B410">
        <v>2006</v>
      </c>
      <c r="C410">
        <v>1</v>
      </c>
      <c r="D410">
        <v>8</v>
      </c>
      <c r="E410">
        <v>15</v>
      </c>
      <c r="F410" s="1">
        <v>49827</v>
      </c>
      <c r="G410" s="1">
        <v>48580</v>
      </c>
      <c r="H410" t="s">
        <v>40</v>
      </c>
    </row>
    <row r="411" spans="1:8" x14ac:dyDescent="0.3">
      <c r="A411" t="s">
        <v>429</v>
      </c>
      <c r="B411">
        <v>2011</v>
      </c>
      <c r="C411">
        <v>2</v>
      </c>
      <c r="D411">
        <v>6</v>
      </c>
      <c r="E411">
        <v>40</v>
      </c>
      <c r="F411" s="1">
        <v>49827</v>
      </c>
      <c r="G411" s="1">
        <v>52597</v>
      </c>
      <c r="H411" t="s">
        <v>40</v>
      </c>
    </row>
    <row r="412" spans="1:8" x14ac:dyDescent="0.3">
      <c r="A412" t="s">
        <v>430</v>
      </c>
      <c r="B412">
        <v>2005</v>
      </c>
      <c r="C412">
        <v>2</v>
      </c>
      <c r="D412">
        <v>4</v>
      </c>
      <c r="E412">
        <v>60</v>
      </c>
      <c r="F412" s="1">
        <v>49096</v>
      </c>
      <c r="G412" s="1">
        <v>23012</v>
      </c>
      <c r="H412" t="s">
        <v>12</v>
      </c>
    </row>
    <row r="413" spans="1:8" x14ac:dyDescent="0.3">
      <c r="A413" t="s">
        <v>431</v>
      </c>
      <c r="B413">
        <v>2017</v>
      </c>
      <c r="C413">
        <v>2</v>
      </c>
      <c r="D413">
        <v>8</v>
      </c>
      <c r="E413">
        <v>45</v>
      </c>
      <c r="F413" s="1">
        <v>48000</v>
      </c>
      <c r="G413" s="1">
        <v>20455</v>
      </c>
      <c r="H413" t="s">
        <v>95</v>
      </c>
    </row>
    <row r="414" spans="1:8" x14ac:dyDescent="0.3">
      <c r="A414" t="s">
        <v>432</v>
      </c>
      <c r="B414">
        <v>2008</v>
      </c>
      <c r="C414">
        <v>1</v>
      </c>
      <c r="D414">
        <v>8</v>
      </c>
      <c r="E414">
        <v>120</v>
      </c>
      <c r="F414" s="1">
        <v>47635</v>
      </c>
      <c r="G414" s="2">
        <v>46205</v>
      </c>
      <c r="H414" t="s">
        <v>9</v>
      </c>
    </row>
    <row r="415" spans="1:8" x14ac:dyDescent="0.3">
      <c r="A415" t="s">
        <v>433</v>
      </c>
      <c r="B415">
        <v>1992</v>
      </c>
      <c r="C415">
        <v>2</v>
      </c>
      <c r="D415">
        <v>8</v>
      </c>
      <c r="E415">
        <v>20</v>
      </c>
      <c r="F415" s="1">
        <v>47635</v>
      </c>
      <c r="G415" s="1">
        <v>50406</v>
      </c>
      <c r="H415" t="s">
        <v>40</v>
      </c>
    </row>
    <row r="416" spans="1:8" x14ac:dyDescent="0.3">
      <c r="A416" t="s">
        <v>434</v>
      </c>
      <c r="B416">
        <v>2008</v>
      </c>
      <c r="C416">
        <v>2</v>
      </c>
      <c r="D416">
        <v>5</v>
      </c>
      <c r="E416">
        <v>15</v>
      </c>
      <c r="F416" s="1">
        <v>47270</v>
      </c>
      <c r="G416" s="1">
        <v>48580</v>
      </c>
      <c r="H416" t="s">
        <v>40</v>
      </c>
    </row>
    <row r="417" spans="1:8" x14ac:dyDescent="0.3">
      <c r="A417" t="s">
        <v>435</v>
      </c>
      <c r="B417">
        <v>1989</v>
      </c>
      <c r="C417">
        <v>4</v>
      </c>
      <c r="D417">
        <v>10</v>
      </c>
      <c r="E417">
        <v>20</v>
      </c>
      <c r="F417" s="1">
        <v>47270</v>
      </c>
      <c r="G417" s="1">
        <v>44562</v>
      </c>
      <c r="H417" t="s">
        <v>95</v>
      </c>
    </row>
    <row r="418" spans="1:8" x14ac:dyDescent="0.3">
      <c r="A418" t="s">
        <v>436</v>
      </c>
      <c r="B418">
        <v>1948</v>
      </c>
      <c r="C418">
        <v>2</v>
      </c>
      <c r="D418">
        <v>4</v>
      </c>
      <c r="E418">
        <v>90</v>
      </c>
      <c r="F418" s="1">
        <v>46905</v>
      </c>
      <c r="G418" s="2">
        <v>46267</v>
      </c>
      <c r="H418" t="s">
        <v>40</v>
      </c>
    </row>
    <row r="419" spans="1:8" x14ac:dyDescent="0.3">
      <c r="A419" t="s">
        <v>437</v>
      </c>
      <c r="B419">
        <v>2015</v>
      </c>
      <c r="C419">
        <v>2</v>
      </c>
      <c r="D419">
        <v>5</v>
      </c>
      <c r="E419">
        <v>20</v>
      </c>
      <c r="F419" s="1">
        <v>44713</v>
      </c>
      <c r="G419" s="2">
        <v>46204</v>
      </c>
      <c r="H419" t="s">
        <v>95</v>
      </c>
    </row>
    <row r="420" spans="1:8" x14ac:dyDescent="0.3">
      <c r="A420" t="s">
        <v>438</v>
      </c>
      <c r="B420">
        <v>2010</v>
      </c>
      <c r="C420">
        <v>2</v>
      </c>
      <c r="D420">
        <v>99</v>
      </c>
      <c r="E420">
        <v>20</v>
      </c>
      <c r="F420" s="1">
        <v>44348</v>
      </c>
      <c r="G420" s="2">
        <v>46296</v>
      </c>
      <c r="H420" t="s">
        <v>95</v>
      </c>
    </row>
    <row r="421" spans="1:8" x14ac:dyDescent="0.3">
      <c r="A421" t="s">
        <v>439</v>
      </c>
      <c r="B421">
        <v>1972</v>
      </c>
      <c r="C421">
        <v>1</v>
      </c>
      <c r="D421">
        <v>8</v>
      </c>
      <c r="E421">
        <v>10</v>
      </c>
      <c r="F421" s="1">
        <v>44348</v>
      </c>
      <c r="G421" s="1">
        <v>54424</v>
      </c>
      <c r="H421" t="s">
        <v>40</v>
      </c>
    </row>
    <row r="422" spans="1:8" x14ac:dyDescent="0.3">
      <c r="A422" t="s">
        <v>440</v>
      </c>
      <c r="B422">
        <v>2007</v>
      </c>
      <c r="C422">
        <v>3</v>
      </c>
      <c r="D422">
        <v>6</v>
      </c>
      <c r="E422">
        <v>90</v>
      </c>
      <c r="F422" s="1">
        <v>43983</v>
      </c>
      <c r="G422" s="1">
        <v>25934</v>
      </c>
      <c r="H422" t="s">
        <v>12</v>
      </c>
    </row>
    <row r="423" spans="1:8" x14ac:dyDescent="0.3">
      <c r="A423" t="s">
        <v>441</v>
      </c>
      <c r="B423">
        <v>1988</v>
      </c>
      <c r="C423">
        <v>2</v>
      </c>
      <c r="D423">
        <v>6</v>
      </c>
      <c r="E423">
        <v>30</v>
      </c>
      <c r="F423" s="1">
        <v>43983</v>
      </c>
      <c r="G423" s="1">
        <v>50406</v>
      </c>
      <c r="H423" t="s">
        <v>95</v>
      </c>
    </row>
    <row r="424" spans="1:8" x14ac:dyDescent="0.3">
      <c r="A424" t="s">
        <v>442</v>
      </c>
      <c r="B424">
        <v>1996</v>
      </c>
      <c r="C424">
        <v>3</v>
      </c>
      <c r="D424">
        <v>8</v>
      </c>
      <c r="E424">
        <v>45</v>
      </c>
      <c r="F424" s="1">
        <v>42156</v>
      </c>
      <c r="G424" s="1">
        <v>23743</v>
      </c>
      <c r="H424" t="s">
        <v>40</v>
      </c>
    </row>
    <row r="425" spans="1:8" x14ac:dyDescent="0.3">
      <c r="A425" t="s">
        <v>443</v>
      </c>
      <c r="B425">
        <v>2007</v>
      </c>
      <c r="C425">
        <v>3</v>
      </c>
      <c r="D425">
        <v>6</v>
      </c>
      <c r="E425">
        <v>20</v>
      </c>
      <c r="F425" s="1">
        <v>42156</v>
      </c>
      <c r="G425" s="2">
        <v>46357</v>
      </c>
      <c r="H425" t="s">
        <v>40</v>
      </c>
    </row>
    <row r="426" spans="1:8" x14ac:dyDescent="0.3">
      <c r="A426" t="s">
        <v>444</v>
      </c>
      <c r="B426">
        <v>2013</v>
      </c>
      <c r="C426">
        <v>1</v>
      </c>
      <c r="D426">
        <v>4</v>
      </c>
      <c r="E426">
        <v>15</v>
      </c>
      <c r="F426" s="2">
        <v>46362</v>
      </c>
      <c r="G426" s="1">
        <v>48580</v>
      </c>
      <c r="H426" t="s">
        <v>40</v>
      </c>
    </row>
    <row r="427" spans="1:8" x14ac:dyDescent="0.3">
      <c r="A427" t="s">
        <v>445</v>
      </c>
      <c r="B427">
        <v>1883</v>
      </c>
      <c r="C427">
        <v>2</v>
      </c>
      <c r="D427">
        <v>2</v>
      </c>
      <c r="E427">
        <v>30</v>
      </c>
      <c r="F427" s="2">
        <v>46301</v>
      </c>
      <c r="G427" s="2">
        <v>46297</v>
      </c>
      <c r="H427" t="s">
        <v>84</v>
      </c>
    </row>
    <row r="428" spans="1:8" x14ac:dyDescent="0.3">
      <c r="A428" t="s">
        <v>446</v>
      </c>
      <c r="B428">
        <v>1946</v>
      </c>
      <c r="C428">
        <v>2</v>
      </c>
      <c r="D428">
        <v>2</v>
      </c>
      <c r="E428">
        <v>45</v>
      </c>
      <c r="F428" s="2">
        <v>46271</v>
      </c>
      <c r="G428" s="1">
        <v>31048</v>
      </c>
      <c r="H428" t="s">
        <v>84</v>
      </c>
    </row>
    <row r="429" spans="1:8" x14ac:dyDescent="0.3">
      <c r="A429" t="s">
        <v>447</v>
      </c>
      <c r="B429">
        <v>2008</v>
      </c>
      <c r="C429">
        <v>2</v>
      </c>
      <c r="D429">
        <v>6</v>
      </c>
      <c r="E429">
        <v>40</v>
      </c>
      <c r="F429" s="2">
        <v>46179</v>
      </c>
      <c r="G429" s="1">
        <v>49310</v>
      </c>
      <c r="H429" t="s">
        <v>95</v>
      </c>
    </row>
    <row r="430" spans="1:8" x14ac:dyDescent="0.3">
      <c r="A430" t="s">
        <v>448</v>
      </c>
      <c r="B430">
        <v>2015</v>
      </c>
      <c r="C430">
        <v>2</v>
      </c>
      <c r="D430">
        <v>5</v>
      </c>
      <c r="E430">
        <v>15</v>
      </c>
      <c r="F430" s="2">
        <v>46118</v>
      </c>
      <c r="G430" s="2">
        <v>46204</v>
      </c>
      <c r="H430" t="s">
        <v>95</v>
      </c>
    </row>
    <row r="431" spans="1:8" x14ac:dyDescent="0.3">
      <c r="A431" t="s">
        <v>449</v>
      </c>
      <c r="B431">
        <v>1982</v>
      </c>
      <c r="C431">
        <v>2</v>
      </c>
      <c r="D431">
        <v>12</v>
      </c>
      <c r="E431">
        <v>30</v>
      </c>
      <c r="F431" s="2">
        <v>46059</v>
      </c>
      <c r="G431" s="1">
        <v>48945</v>
      </c>
      <c r="H431" t="s">
        <v>40</v>
      </c>
    </row>
    <row r="432" spans="1:8" x14ac:dyDescent="0.3">
      <c r="A432" t="s">
        <v>450</v>
      </c>
      <c r="B432">
        <v>2007</v>
      </c>
      <c r="C432">
        <v>2</v>
      </c>
      <c r="D432">
        <v>6</v>
      </c>
      <c r="E432">
        <v>40</v>
      </c>
      <c r="F432" s="1">
        <v>36281</v>
      </c>
      <c r="G432" s="1">
        <v>52597</v>
      </c>
      <c r="H432" t="s">
        <v>40</v>
      </c>
    </row>
    <row r="433" spans="1:8" x14ac:dyDescent="0.3">
      <c r="A433" t="s">
        <v>451</v>
      </c>
      <c r="B433">
        <v>700</v>
      </c>
      <c r="C433">
        <v>2</v>
      </c>
      <c r="D433">
        <v>2</v>
      </c>
      <c r="E433">
        <v>10</v>
      </c>
      <c r="F433" s="1">
        <v>33725</v>
      </c>
      <c r="G433" s="1">
        <v>22647</v>
      </c>
      <c r="H433" t="s">
        <v>84</v>
      </c>
    </row>
    <row r="434" spans="1:8" x14ac:dyDescent="0.3">
      <c r="A434" t="s">
        <v>452</v>
      </c>
      <c r="B434">
        <v>2009</v>
      </c>
      <c r="C434">
        <v>4</v>
      </c>
      <c r="D434">
        <v>30</v>
      </c>
      <c r="E434">
        <v>30</v>
      </c>
      <c r="F434" s="1">
        <v>33359</v>
      </c>
      <c r="G434" s="1">
        <v>43831</v>
      </c>
      <c r="H434" t="s">
        <v>95</v>
      </c>
    </row>
    <row r="435" spans="1:8" x14ac:dyDescent="0.3">
      <c r="A435" t="s">
        <v>453</v>
      </c>
      <c r="B435">
        <v>2001</v>
      </c>
      <c r="C435">
        <v>3</v>
      </c>
      <c r="D435">
        <v>6</v>
      </c>
      <c r="E435">
        <v>120</v>
      </c>
      <c r="F435" s="1">
        <v>32994</v>
      </c>
      <c r="G435" s="1">
        <v>29221</v>
      </c>
      <c r="H435" t="s">
        <v>12</v>
      </c>
    </row>
    <row r="436" spans="1:8" x14ac:dyDescent="0.3">
      <c r="A436" t="s">
        <v>454</v>
      </c>
      <c r="B436">
        <v>1985</v>
      </c>
      <c r="C436">
        <v>3</v>
      </c>
      <c r="D436">
        <v>16</v>
      </c>
      <c r="E436">
        <v>90</v>
      </c>
      <c r="F436" s="1">
        <v>30437</v>
      </c>
      <c r="G436" s="1">
        <v>45292</v>
      </c>
      <c r="H436" t="s">
        <v>95</v>
      </c>
    </row>
    <row r="437" spans="1:8" x14ac:dyDescent="0.3">
      <c r="A437" t="s">
        <v>455</v>
      </c>
      <c r="B437">
        <v>1999</v>
      </c>
      <c r="C437">
        <v>4</v>
      </c>
      <c r="D437">
        <v>10</v>
      </c>
      <c r="E437">
        <v>30</v>
      </c>
      <c r="F437" s="1">
        <v>29707</v>
      </c>
      <c r="G437" s="1">
        <v>42370</v>
      </c>
      <c r="H437" t="s">
        <v>95</v>
      </c>
    </row>
    <row r="438" spans="1:8" x14ac:dyDescent="0.3">
      <c r="A438" t="s">
        <v>456</v>
      </c>
      <c r="B438">
        <v>2001</v>
      </c>
      <c r="C438">
        <v>2</v>
      </c>
      <c r="D438">
        <v>6</v>
      </c>
      <c r="E438">
        <v>90</v>
      </c>
      <c r="F438" s="1">
        <v>29342</v>
      </c>
      <c r="G438" s="1">
        <v>22282</v>
      </c>
      <c r="H438" t="s">
        <v>12</v>
      </c>
    </row>
    <row r="439" spans="1:8" x14ac:dyDescent="0.3">
      <c r="A439" t="s">
        <v>457</v>
      </c>
      <c r="B439">
        <v>2007</v>
      </c>
      <c r="C439">
        <v>1</v>
      </c>
      <c r="D439">
        <v>4</v>
      </c>
      <c r="E439">
        <v>15</v>
      </c>
      <c r="F439" s="1">
        <v>25689</v>
      </c>
      <c r="G439" s="1">
        <v>44927</v>
      </c>
      <c r="H439" t="s">
        <v>40</v>
      </c>
    </row>
    <row r="440" spans="1:8" x14ac:dyDescent="0.3">
      <c r="A440" t="s">
        <v>458</v>
      </c>
      <c r="B440">
        <v>1954</v>
      </c>
      <c r="C440">
        <v>2</v>
      </c>
      <c r="D440">
        <v>6</v>
      </c>
      <c r="E440">
        <v>45</v>
      </c>
      <c r="F440" s="1">
        <v>25689</v>
      </c>
      <c r="G440" s="1">
        <v>45658</v>
      </c>
      <c r="H440" t="s">
        <v>40</v>
      </c>
    </row>
    <row r="441" spans="1:8" x14ac:dyDescent="0.3">
      <c r="A441" t="s">
        <v>459</v>
      </c>
      <c r="B441">
        <v>1998</v>
      </c>
      <c r="C441">
        <v>4</v>
      </c>
      <c r="D441">
        <v>16</v>
      </c>
      <c r="E441">
        <v>60</v>
      </c>
      <c r="F441" s="1">
        <v>24959</v>
      </c>
      <c r="G441" s="1">
        <v>52232</v>
      </c>
      <c r="H441" t="s">
        <v>95</v>
      </c>
    </row>
    <row r="442" spans="1:8" x14ac:dyDescent="0.3">
      <c r="A442" t="s">
        <v>460</v>
      </c>
      <c r="B442">
        <v>1997</v>
      </c>
      <c r="C442">
        <v>2</v>
      </c>
      <c r="D442">
        <v>6</v>
      </c>
      <c r="E442">
        <v>30</v>
      </c>
      <c r="F442" s="1">
        <v>24593</v>
      </c>
      <c r="G442" s="1">
        <v>50771</v>
      </c>
      <c r="H442" t="s">
        <v>40</v>
      </c>
    </row>
    <row r="443" spans="1:8" x14ac:dyDescent="0.3">
      <c r="A443" t="s">
        <v>461</v>
      </c>
      <c r="B443">
        <v>1949</v>
      </c>
      <c r="C443">
        <v>2</v>
      </c>
      <c r="D443">
        <v>6</v>
      </c>
      <c r="E443">
        <v>45</v>
      </c>
      <c r="F443" s="1">
        <v>24593</v>
      </c>
      <c r="G443" s="1">
        <v>24108</v>
      </c>
      <c r="H443" t="s">
        <v>40</v>
      </c>
    </row>
    <row r="444" spans="1:8" x14ac:dyDescent="0.3">
      <c r="A444" t="s">
        <v>462</v>
      </c>
      <c r="B444">
        <v>1983</v>
      </c>
      <c r="C444">
        <v>1</v>
      </c>
      <c r="D444">
        <v>8</v>
      </c>
      <c r="E444">
        <v>20</v>
      </c>
      <c r="F444" s="1">
        <v>22037</v>
      </c>
      <c r="G444" s="2">
        <v>46357</v>
      </c>
      <c r="H444" t="s">
        <v>95</v>
      </c>
    </row>
    <row r="445" spans="1:8" x14ac:dyDescent="0.3">
      <c r="A445" t="s">
        <v>463</v>
      </c>
      <c r="B445">
        <v>1959</v>
      </c>
      <c r="C445">
        <v>2</v>
      </c>
      <c r="D445">
        <v>6</v>
      </c>
      <c r="E445">
        <v>120</v>
      </c>
      <c r="F445" s="1">
        <v>21671</v>
      </c>
      <c r="G445" s="2">
        <v>46236</v>
      </c>
      <c r="H445" t="s">
        <v>40</v>
      </c>
    </row>
    <row r="446" spans="1:8" x14ac:dyDescent="0.3">
      <c r="A446" t="s">
        <v>464</v>
      </c>
      <c r="B446">
        <v>1500</v>
      </c>
      <c r="C446">
        <v>2</v>
      </c>
      <c r="D446">
        <v>10</v>
      </c>
      <c r="E446">
        <v>30</v>
      </c>
      <c r="F446" s="1">
        <v>53813</v>
      </c>
      <c r="G446" s="1">
        <v>50406</v>
      </c>
      <c r="H446" t="s">
        <v>84</v>
      </c>
    </row>
    <row r="447" spans="1:8" x14ac:dyDescent="0.3">
      <c r="A447" t="s">
        <v>465</v>
      </c>
      <c r="B447">
        <v>1967</v>
      </c>
      <c r="C447">
        <v>2</v>
      </c>
      <c r="D447">
        <v>6</v>
      </c>
      <c r="E447">
        <v>20</v>
      </c>
      <c r="F447" s="1">
        <v>53813</v>
      </c>
      <c r="G447" s="1">
        <v>44562</v>
      </c>
      <c r="H447" t="s">
        <v>40</v>
      </c>
    </row>
    <row r="448" spans="1:8" x14ac:dyDescent="0.3">
      <c r="A448" t="s">
        <v>466</v>
      </c>
      <c r="B448">
        <v>1971</v>
      </c>
      <c r="C448">
        <v>2</v>
      </c>
      <c r="D448">
        <v>10</v>
      </c>
      <c r="E448">
        <v>30</v>
      </c>
      <c r="F448" s="1">
        <v>51257</v>
      </c>
      <c r="G448" s="2">
        <v>46357</v>
      </c>
      <c r="H448" t="s">
        <v>40</v>
      </c>
    </row>
    <row r="449" spans="1:8" x14ac:dyDescent="0.3">
      <c r="A449" t="s">
        <v>467</v>
      </c>
      <c r="B449">
        <v>1956</v>
      </c>
      <c r="C449">
        <v>2</v>
      </c>
      <c r="D449">
        <v>10</v>
      </c>
      <c r="E449">
        <v>30</v>
      </c>
      <c r="F449" s="1">
        <v>50891</v>
      </c>
      <c r="G449" s="1">
        <v>43466</v>
      </c>
      <c r="H449" t="s">
        <v>40</v>
      </c>
    </row>
    <row r="450" spans="1:8" x14ac:dyDescent="0.3">
      <c r="A450" t="s">
        <v>468</v>
      </c>
      <c r="B450">
        <v>1982</v>
      </c>
      <c r="C450">
        <v>2</v>
      </c>
      <c r="D450">
        <v>6</v>
      </c>
      <c r="E450">
        <v>45</v>
      </c>
      <c r="F450" s="1">
        <v>41395</v>
      </c>
      <c r="G450" s="1">
        <v>47119</v>
      </c>
      <c r="H450" t="s">
        <v>40</v>
      </c>
    </row>
    <row r="451" spans="1:8" x14ac:dyDescent="0.3">
      <c r="A451" t="s">
        <v>469</v>
      </c>
      <c r="B451">
        <v>1931</v>
      </c>
      <c r="C451">
        <v>2</v>
      </c>
      <c r="D451">
        <v>2</v>
      </c>
      <c r="E451">
        <v>30</v>
      </c>
      <c r="F451" s="1">
        <v>23833</v>
      </c>
      <c r="G451" s="1">
        <v>44562</v>
      </c>
      <c r="H451" t="s">
        <v>360</v>
      </c>
    </row>
    <row r="452" spans="1:8" x14ac:dyDescent="0.3">
      <c r="A452" t="s">
        <v>470</v>
      </c>
      <c r="B452">
        <v>1933</v>
      </c>
      <c r="C452">
        <v>2</v>
      </c>
      <c r="D452">
        <v>8</v>
      </c>
      <c r="E452">
        <v>180</v>
      </c>
      <c r="F452" s="1">
        <v>50861</v>
      </c>
      <c r="G452" s="1">
        <v>23743</v>
      </c>
      <c r="H452" t="s">
        <v>40</v>
      </c>
    </row>
    <row r="453" spans="1:8" x14ac:dyDescent="0.3">
      <c r="A453" t="s">
        <v>471</v>
      </c>
      <c r="B453">
        <v>1960</v>
      </c>
      <c r="C453">
        <v>2</v>
      </c>
      <c r="D453">
        <v>6</v>
      </c>
      <c r="E453">
        <v>60</v>
      </c>
      <c r="F453" s="1">
        <v>47574</v>
      </c>
      <c r="G453" s="1">
        <v>43101</v>
      </c>
      <c r="H453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34A3E-9F2A-4D06-ACCC-558B7D689F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igre-en (2)</vt:lpstr>
      <vt:lpstr>igre-en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</dc:creator>
  <cp:lastModifiedBy>Nika</cp:lastModifiedBy>
  <dcterms:created xsi:type="dcterms:W3CDTF">2026-02-10T11:33:39Z</dcterms:created>
  <dcterms:modified xsi:type="dcterms:W3CDTF">2026-02-10T11:33:39Z</dcterms:modified>
</cp:coreProperties>
</file>