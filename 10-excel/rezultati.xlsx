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ka\Documents\racunalniski_praktikum\10-excel\"/>
    </mc:Choice>
  </mc:AlternateContent>
  <xr:revisionPtr revIDLastSave="0" documentId="13_ncr:1_{AC119304-92F6-4D50-A327-900B7F1916C2}" xr6:coauthVersionLast="45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ist4" sheetId="5" r:id="rId1"/>
    <sheet name="Rezultati" sheetId="1" r:id="rId2"/>
  </sheets>
  <definedNames>
    <definedName name="_xlcn.WorksheetConnection_rezultati.xlsxSkupine1" hidden="1">Skupine[]</definedName>
  </definedNames>
  <calcPr calcId="191029"/>
  <pivotCaches>
    <pivotCache cacheId="32" r:id="rId3"/>
  </pivotCaches>
  <extLst>
    <ext xmlns:x15="http://schemas.microsoft.com/office/spreadsheetml/2010/11/main" uri="{FCE2AD5D-F65C-4FA6-A056-5C36A1767C68}">
      <x15:dataModel>
        <x15:modelTables>
          <x15:modelTable id="Skupine" name="Skupine" connection="WorksheetConnection_rezultati.xlsx!Skupin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5" i="1" l="1"/>
  <c r="P4" i="1"/>
  <c r="P3" i="1"/>
  <c r="M3" i="1"/>
  <c r="M4" i="1"/>
  <c r="M5" i="1"/>
  <c r="L3" i="1"/>
  <c r="L4" i="1"/>
  <c r="J3" i="1"/>
  <c r="L5" i="1"/>
  <c r="J4" i="1"/>
  <c r="J5" i="1"/>
  <c r="I3" i="1"/>
  <c r="I4" i="1"/>
  <c r="I5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3DDD7C-5ABC-4872-82C1-D0384A4F63B7}" keepAlive="1" name="ThisWorkbookDataModel" description="Podatkovni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BF4A584-BE1C-45E3-99F6-E03143335B22}" name="WorksheetConnection_rezultati.xlsx!Skupine" type="102" refreshedVersion="6" minRefreshableVersion="5">
    <extLst>
      <ext xmlns:x15="http://schemas.microsoft.com/office/spreadsheetml/2010/11/main" uri="{DE250136-89BD-433C-8126-D09CA5730AF9}">
        <x15:connection id="Skupine" autoDelete="1">
          <x15:rangePr sourceName="_xlcn.WorksheetConnection_rezultati.xlsxSkupine1"/>
        </x15:connection>
      </ext>
    </extLst>
  </connection>
</connections>
</file>

<file path=xl/sharedStrings.xml><?xml version="1.0" encoding="utf-8"?>
<sst xmlns="http://schemas.openxmlformats.org/spreadsheetml/2006/main" count="113" uniqueCount="72">
  <si>
    <t>Priimek</t>
  </si>
  <si>
    <t>Ime</t>
  </si>
  <si>
    <t>Skupina</t>
  </si>
  <si>
    <t>Točke</t>
  </si>
  <si>
    <t>Opravil</t>
  </si>
  <si>
    <t>Test</t>
  </si>
  <si>
    <t>Udeležba</t>
  </si>
  <si>
    <t>Furlan</t>
  </si>
  <si>
    <t>Luka</t>
  </si>
  <si>
    <t>A</t>
  </si>
  <si>
    <t>Karakaš</t>
  </si>
  <si>
    <t>Alenka</t>
  </si>
  <si>
    <t>B</t>
  </si>
  <si>
    <t>Kočar</t>
  </si>
  <si>
    <t>Petra</t>
  </si>
  <si>
    <t>C</t>
  </si>
  <si>
    <t>Kofol</t>
  </si>
  <si>
    <t>Andraž</t>
  </si>
  <si>
    <t>Kumar</t>
  </si>
  <si>
    <t>Barbara</t>
  </si>
  <si>
    <t>Logar</t>
  </si>
  <si>
    <t>Mateja</t>
  </si>
  <si>
    <t>Pance</t>
  </si>
  <si>
    <t>Martin</t>
  </si>
  <si>
    <t>Pleterski</t>
  </si>
  <si>
    <t>Vesna</t>
  </si>
  <si>
    <t>Trček</t>
  </si>
  <si>
    <t>Valerija</t>
  </si>
  <si>
    <t>Virant</t>
  </si>
  <si>
    <t>Primož</t>
  </si>
  <si>
    <t>Vesel</t>
  </si>
  <si>
    <t>Polona</t>
  </si>
  <si>
    <t>Žveglič</t>
  </si>
  <si>
    <t>Katarina</t>
  </si>
  <si>
    <t>Cvelbar</t>
  </si>
  <si>
    <t>Janja</t>
  </si>
  <si>
    <t>Aleš</t>
  </si>
  <si>
    <t>Iskra</t>
  </si>
  <si>
    <t>Sabina</t>
  </si>
  <si>
    <t>Jerman</t>
  </si>
  <si>
    <t>Katja</t>
  </si>
  <si>
    <t>Karničar</t>
  </si>
  <si>
    <t>Jaka</t>
  </si>
  <si>
    <t>Korošec</t>
  </si>
  <si>
    <t>Kristina</t>
  </si>
  <si>
    <t>Kržišnik</t>
  </si>
  <si>
    <t>Grega</t>
  </si>
  <si>
    <t>Obrenović</t>
  </si>
  <si>
    <t>Tatjana</t>
  </si>
  <si>
    <t>Puncer</t>
  </si>
  <si>
    <t>Ribnikar</t>
  </si>
  <si>
    <t>Matjaž</t>
  </si>
  <si>
    <t>Štemberger</t>
  </si>
  <si>
    <t>Igor</t>
  </si>
  <si>
    <t>Šubašič</t>
  </si>
  <si>
    <t>Matej</t>
  </si>
  <si>
    <t>Tekavčič</t>
  </si>
  <si>
    <t>Aleksander</t>
  </si>
  <si>
    <t>Tratnik</t>
  </si>
  <si>
    <t>Mojca</t>
  </si>
  <si>
    <t>Smrekar</t>
  </si>
  <si>
    <t>Andreja</t>
  </si>
  <si>
    <t>Bezek</t>
  </si>
  <si>
    <t>Tomaž</t>
  </si>
  <si>
    <t>2021</t>
  </si>
  <si>
    <t>2022</t>
  </si>
  <si>
    <t>Oznake vrstic</t>
  </si>
  <si>
    <t>Skupna vsota</t>
  </si>
  <si>
    <t>Minimum</t>
  </si>
  <si>
    <t>Maksimum</t>
  </si>
  <si>
    <t>Vsota Udeležba</t>
  </si>
  <si>
    <t>Povprečje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</si>
</sst>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theme="6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6" fillId="0" borderId="10" xfId="0" applyFont="1" applyBorder="1"/>
    <xf numFmtId="0" fontId="0" fillId="33" borderId="11" xfId="0" applyFont="1" applyFill="1" applyBorder="1"/>
    <xf numFmtId="0" fontId="0" fillId="0" borderId="11" xfId="0" applyFont="1" applyBorder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33" borderId="11" xfId="0" applyNumberFormat="1" applyFont="1" applyFill="1" applyBorder="1"/>
    <xf numFmtId="2" fontId="0" fillId="0" borderId="11" xfId="0" applyNumberFormat="1" applyFont="1" applyBorder="1"/>
  </cellXfs>
  <cellStyles count="42">
    <cellStyle name="20 % – Poudarek1" xfId="19" builtinId="30" customBuiltin="1"/>
    <cellStyle name="20 % – Poudarek2" xfId="23" builtinId="34" customBuiltin="1"/>
    <cellStyle name="20 % – Poudarek3" xfId="27" builtinId="38" customBuiltin="1"/>
    <cellStyle name="20 % – Poudarek4" xfId="31" builtinId="42" customBuiltin="1"/>
    <cellStyle name="20 % – Poudarek5" xfId="35" builtinId="46" customBuiltin="1"/>
    <cellStyle name="20 % – Poudarek6" xfId="39" builtinId="50" customBuiltin="1"/>
    <cellStyle name="40 % – Poudarek1" xfId="20" builtinId="31" customBuiltin="1"/>
    <cellStyle name="40 % – Poudarek2" xfId="24" builtinId="35" customBuiltin="1"/>
    <cellStyle name="40 % – Poudarek3" xfId="28" builtinId="39" customBuiltin="1"/>
    <cellStyle name="40 % – Poudarek4" xfId="32" builtinId="43" customBuiltin="1"/>
    <cellStyle name="40 % – Poudarek5" xfId="36" builtinId="47" customBuiltin="1"/>
    <cellStyle name="40 % – Poudarek6" xfId="40" builtinId="51" customBuiltin="1"/>
    <cellStyle name="60 % – Poudarek1" xfId="21" builtinId="32" customBuiltin="1"/>
    <cellStyle name="60 % – Poudarek2" xfId="25" builtinId="36" customBuiltin="1"/>
    <cellStyle name="60 % – Poudarek3" xfId="29" builtinId="40" customBuiltin="1"/>
    <cellStyle name="60 % – Poudarek4" xfId="33" builtinId="44" customBuiltin="1"/>
    <cellStyle name="60 % – Poudarek5" xfId="37" builtinId="48" customBuiltin="1"/>
    <cellStyle name="60 % – Poudarek6" xfId="41" builtinId="52" customBuiltin="1"/>
    <cellStyle name="Dobro" xfId="6" builtinId="26" customBuiltin="1"/>
    <cellStyle name="Izhod" xfId="10" builtinId="21" customBuiltin="1"/>
    <cellStyle name="Naslov" xfId="1" builtinId="15" customBuiltin="1"/>
    <cellStyle name="Naslov 1" xfId="2" builtinId="16" customBuiltin="1"/>
    <cellStyle name="Naslov 2" xfId="3" builtinId="17" customBuiltin="1"/>
    <cellStyle name="Naslov 3" xfId="4" builtinId="18" customBuiltin="1"/>
    <cellStyle name="Naslov 4" xfId="5" builtinId="19" customBuiltin="1"/>
    <cellStyle name="Navadno" xfId="0" builtinId="0"/>
    <cellStyle name="Nevtralno" xfId="8" builtinId="28" customBuiltin="1"/>
    <cellStyle name="Opomba" xfId="15" builtinId="10" customBuiltin="1"/>
    <cellStyle name="Opozorilo" xfId="14" builtinId="11" customBuiltin="1"/>
    <cellStyle name="Pojasnjevalno besedilo" xfId="16" builtinId="53" customBuiltin="1"/>
    <cellStyle name="Poudarek1" xfId="18" builtinId="29" customBuiltin="1"/>
    <cellStyle name="Poudarek2" xfId="22" builtinId="33" customBuiltin="1"/>
    <cellStyle name="Poudarek3" xfId="26" builtinId="37" customBuiltin="1"/>
    <cellStyle name="Poudarek4" xfId="30" builtinId="41" customBuiltin="1"/>
    <cellStyle name="Poudarek5" xfId="34" builtinId="45" customBuiltin="1"/>
    <cellStyle name="Poudarek6" xfId="38" builtinId="49" customBuiltin="1"/>
    <cellStyle name="Povezana celica" xfId="12" builtinId="24" customBuiltin="1"/>
    <cellStyle name="Preveri celico" xfId="13" builtinId="23" customBuiltin="1"/>
    <cellStyle name="Računanje" xfId="11" builtinId="22" customBuiltin="1"/>
    <cellStyle name="Slabo" xfId="7" builtinId="27" customBuiltin="1"/>
    <cellStyle name="Vnos" xfId="9" builtinId="20" customBuiltin="1"/>
    <cellStyle name="Vsota" xfId="17" builtinId="25" customBuiltin="1"/>
  </cellStyles>
  <dxfs count="9"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9C0006"/>
      </font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Velikost</a:t>
            </a:r>
            <a:r>
              <a:rPr lang="sl-SI" baseline="0"/>
              <a:t> skupin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Rezultati!$I$2</c:f>
              <c:strCache>
                <c:ptCount val="1"/>
                <c:pt idx="0">
                  <c:v>Udeležba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explosion val="28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B19-4C40-839A-C32F0CF77C2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l-SI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Rezultati!$H$3:$H$5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Rezultati!$I$3:$I$5</c:f>
              <c:numCache>
                <c:formatCode>General</c:formatCode>
                <c:ptCount val="3"/>
                <c:pt idx="0">
                  <c:v>9</c:v>
                </c:pt>
                <c:pt idx="1">
                  <c:v>12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19-4C40-839A-C32F0CF77C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Povprečje</a:t>
            </a:r>
            <a:r>
              <a:rPr lang="sl-SI" baseline="0"/>
              <a:t> v letih 2021 in 2022</a:t>
            </a:r>
            <a:endParaRPr lang="sl-SI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Rezultati!$P$2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Rezultati!$O$3:$O$5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Rezultati!$P$3:$P$5</c:f>
              <c:numCache>
                <c:formatCode>0.00</c:formatCode>
                <c:ptCount val="3"/>
                <c:pt idx="0">
                  <c:v>58.222222222222221</c:v>
                </c:pt>
                <c:pt idx="1">
                  <c:v>66.5</c:v>
                </c:pt>
                <c:pt idx="2">
                  <c:v>47.714285714285715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D6-4026-9FA9-AC4181362FF8}"/>
            </c:ext>
          </c:extLst>
        </c:ser>
        <c:ser>
          <c:idx val="1"/>
          <c:order val="1"/>
          <c:tx>
            <c:strRef>
              <c:f>Rezultati!$Q$2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Rezultati!$O$3:$O$5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Rezultati!$Q$3:$Q$5</c:f>
              <c:numCache>
                <c:formatCode>General</c:formatCode>
                <c:ptCount val="3"/>
                <c:pt idx="0">
                  <c:v>66.84</c:v>
                </c:pt>
                <c:pt idx="1">
                  <c:v>52.35</c:v>
                </c:pt>
                <c:pt idx="2">
                  <c:v>49.66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D6-4026-9FA9-AC4181362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8303848"/>
        <c:axId val="408304176"/>
      </c:barChart>
      <c:catAx>
        <c:axId val="408303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Skupina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408304176"/>
        <c:crosses val="autoZero"/>
        <c:auto val="1"/>
        <c:lblAlgn val="ctr"/>
        <c:lblOffset val="100"/>
        <c:noMultiLvlLbl val="0"/>
      </c:catAx>
      <c:valAx>
        <c:axId val="40830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 Povprečje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408303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525780</xdr:colOff>
      <xdr:row>5</xdr:row>
      <xdr:rowOff>133350</xdr:rowOff>
    </xdr:from>
    <xdr:to>
      <xdr:col>14</xdr:col>
      <xdr:colOff>228600</xdr:colOff>
      <xdr:row>20</xdr:row>
      <xdr:rowOff>133350</xdr:rowOff>
    </xdr:to>
    <xdr:graphicFrame macro="">
      <xdr:nvGraphicFramePr>
        <xdr:cNvPr id="2" name="Grafikon 1">
          <a:extLst>
            <a:ext uri="{FF2B5EF4-FFF2-40B4-BE49-F238E27FC236}">
              <a16:creationId xmlns:a16="http://schemas.microsoft.com/office/drawing/2014/main" id="{F062566D-3AC5-47B2-9885-123C7CCEF3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480060</xdr:colOff>
      <xdr:row>5</xdr:row>
      <xdr:rowOff>110490</xdr:rowOff>
    </xdr:from>
    <xdr:to>
      <xdr:col>22</xdr:col>
      <xdr:colOff>236220</xdr:colOff>
      <xdr:row>20</xdr:row>
      <xdr:rowOff>129540</xdr:rowOff>
    </xdr:to>
    <xdr:graphicFrame macro="">
      <xdr:nvGraphicFramePr>
        <xdr:cNvPr id="3" name="Grafikon 2">
          <a:extLst>
            <a:ext uri="{FF2B5EF4-FFF2-40B4-BE49-F238E27FC236}">
              <a16:creationId xmlns:a16="http://schemas.microsoft.com/office/drawing/2014/main" id="{9A6E52C4-80E0-4829-A735-94C275C8C2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ka" refreshedDate="46019.596473379628" backgroundQuery="1" createdVersion="6" refreshedVersion="6" minRefreshableVersion="3" recordCount="0" supportSubquery="1" supportAdvancedDrill="1" xr:uid="{F79D8F6E-267D-4E31-9A70-7E1CFF4091F6}">
  <cacheSource type="external" connectionId="1"/>
  <cacheFields count="5">
    <cacheField name="[Measures].[Vsota Udeležba]" caption="Vsota Udeležba" numFmtId="0" hierarchy="8" level="32767"/>
    <cacheField name="[Skupine].[Test].[Test]" caption="Test" numFmtId="0" level="1">
      <sharedItems count="3">
        <s v="A"/>
        <s v="B"/>
        <s v="C"/>
      </sharedItems>
    </cacheField>
    <cacheField name="[Measures].[Najmanj Minimum]" caption="Najmanj Minimum" numFmtId="0" hierarchy="13" level="32767"/>
    <cacheField name="[Measures].[Največ Maksimum]" caption="Največ Maksimum" numFmtId="0" hierarchy="14" level="32767"/>
    <cacheField name="[Measures].[Povprečje 2022]" caption="Povprečje 2022" numFmtId="0" hierarchy="15" level="32767"/>
  </cacheFields>
  <cacheHierarchies count="16">
    <cacheHierarchy uniqueName="[Skupine].[Test]" caption="Test" attribute="1" defaultMemberUniqueName="[Skupine].[Test].[All]" allUniqueName="[Skupine].[Test].[All]" dimensionUniqueName="[Skupine]" displayFolder="" count="2" memberValueDatatype="130" unbalanced="0">
      <fieldsUsage count="2">
        <fieldUsage x="-1"/>
        <fieldUsage x="1"/>
      </fieldsUsage>
    </cacheHierarchy>
    <cacheHierarchy uniqueName="[Skupine].[Udeležba]" caption="Udeležba" attribute="1" defaultMemberUniqueName="[Skupine].[Udeležba].[All]" allUniqueName="[Skupine].[Udeležba].[All]" dimensionUniqueName="[Skupine]" displayFolder="" count="0" memberValueDatatype="20" unbalanced="0"/>
    <cacheHierarchy uniqueName="[Skupine].[2022]" caption="2022" attribute="1" defaultMemberUniqueName="[Skupine].[2022].[All]" allUniqueName="[Skupine].[2022].[All]" dimensionUniqueName="[Skupine]" displayFolder="" count="0" memberValueDatatype="5" unbalanced="0"/>
    <cacheHierarchy uniqueName="[Skupine].[2021]" caption="2021" attribute="1" defaultMemberUniqueName="[Skupine].[2021].[All]" allUniqueName="[Skupine].[2021].[All]" dimensionUniqueName="[Skupine]" displayFolder="" count="0" memberValueDatatype="5" unbalanced="0"/>
    <cacheHierarchy uniqueName="[Skupine].[Minimum]" caption="Minimum" attribute="1" defaultMemberUniqueName="[Skupine].[Minimum].[All]" allUniqueName="[Skupine].[Minimum].[All]" dimensionUniqueName="[Skupine]" displayFolder="" count="0" memberValueDatatype="20" unbalanced="0"/>
    <cacheHierarchy uniqueName="[Skupine].[Maksimum]" caption="Maksimum" attribute="1" defaultMemberUniqueName="[Skupine].[Maksimum].[All]" allUniqueName="[Skupine].[Maksimum].[All]" dimensionUniqueName="[Skupine]" displayFolder="" count="0" memberValueDatatype="20" unbalanced="0"/>
    <cacheHierarchy uniqueName="[Measures].[__XL_Count Skupine]" caption="__XL_Count Skupine" measure="1" displayFolder="" measureGroup="Skupine" count="0" hidden="1"/>
    <cacheHierarchy uniqueName="[Measures].[__No measures defined]" caption="__No measures defined" measure="1" displayFolder="" count="0" hidden="1"/>
    <cacheHierarchy uniqueName="[Measures].[Vsota Udeležba]" caption="Vsota Udeležba" measure="1" displayFolder="" measureGroup="Skupin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Vsota 2022]" caption="Vsota 2022" measure="1" displayFolder="" measureGroup="Skupin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Vsota 2021]" caption="Vsota 2021" measure="1" displayFolder="" measureGroup="Skupin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Vsota Minimum]" caption="Vsota Minimum" measure="1" displayFolder="" measureGroup="Skupin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Vsota Maksimum]" caption="Vsota Maksimum" measure="1" displayFolder="" measureGroup="Skupin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Najmanj Minimum]" caption="Najmanj Minimum" measure="1" displayFolder="" measureGroup="Skupin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Največ Maksimum]" caption="Največ Maksimum" measure="1" displayFolder="" measureGroup="Skupin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Povprečje 2022]" caption="Povprečje 2022" measure="1" displayFolder="" measureGroup="Skupine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Skupine" uniqueName="[Skupine]" caption="Skupine"/>
  </dimensions>
  <measureGroups count="1">
    <measureGroup name="Skupine" caption="Skupin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1BA426-45B1-4F1E-A8AD-FE939C1BAF2A}" name="Vrtilna tabela4" cacheId="32" applyNumberFormats="0" applyBorderFormats="0" applyFontFormats="0" applyPatternFormats="0" applyAlignmentFormats="0" applyWidthHeightFormats="1" dataCaption="Vrednosti" updatedVersion="6" minRefreshableVersion="3" useAutoFormatting="1" itemPrintTitles="1" createdVersion="6" indent="0" outline="1" outlineData="1" multipleFieldFilters="0">
  <location ref="A3:E7" firstHeaderRow="0" firstDataRow="1" firstDataCol="1"/>
  <pivotFields count="5">
    <pivotField dataField="1" subtotalTop="0" showAll="0" defaultSubtotal="0"/>
    <pivotField axis="axisRow" allDrilled="1" showAll="0" dataSourceSort="1" defaultAttributeDrillState="1">
      <items count="4">
        <item x="0"/>
        <item x="1"/>
        <item x="2"/>
        <item t="default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Vsota Udeležba" fld="0" baseField="0" baseItem="0"/>
    <dataField name="Povprečje 2022" fld="4" subtotal="average" baseField="1" baseItem="0" numFmtId="2"/>
    <dataField name="Minimum" fld="2" subtotal="min" baseField="1" baseItem="0"/>
    <dataField name="Maksimum" fld="3" subtotal="max" baseField="1" baseItem="0"/>
  </dataFields>
  <formats count="1">
    <format dxfId="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Minimum"/>
    <pivotHierarchy dragToData="1" caption="Maksimum"/>
    <pivotHierarchy dragToData="1" caption="Povprečje 2022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zultati.xlsx!Skupine">
        <x15:activeTabTopLevelEntity name="[Skupin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C90745-5D9B-DB4B-840E-195183B97A51}" name="Rezultati" displayName="Rezultati" ref="B2:F30" totalsRowShown="0">
  <autoFilter ref="B2:F30" xr:uid="{07C90745-5D9B-DB4B-840E-195183B97A51}"/>
  <sortState xmlns:xlrd2="http://schemas.microsoft.com/office/spreadsheetml/2017/richdata2" ref="B3:F30">
    <sortCondition ref="B2:B30"/>
  </sortState>
  <tableColumns count="5">
    <tableColumn id="1" xr3:uid="{61A7CB75-EE0E-8148-A622-B1E11A2949AB}" name="Priimek"/>
    <tableColumn id="2" xr3:uid="{1516B636-A66A-2F4C-90DA-D664D3A1EBF9}" name="Ime"/>
    <tableColumn id="3" xr3:uid="{4228D6B7-8EB4-0245-B28A-8C1E7596D7AA}" name="Skupina"/>
    <tableColumn id="4" xr3:uid="{D7BCD06B-AAB1-E14C-9780-EB9AFE9CDDAF}" name="Točke"/>
    <tableColumn id="5" xr3:uid="{A572DA5B-37ED-FF49-A08A-839E55F45206}" name="Opravil">
      <calculatedColumnFormula>IF(Rezultati[[#This Row],[Točke]]&gt;=50,"DA","NE")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D53C94-4DD0-B043-8002-9273766F5DC7}" name="Skupine" displayName="Skupine" ref="H2:M5" totalsRowShown="0">
  <autoFilter ref="H2:M5" xr:uid="{BAD53C94-4DD0-B043-8002-9273766F5DC7}"/>
  <tableColumns count="6">
    <tableColumn id="1" xr3:uid="{26F1C940-A3E1-AA4A-B91A-EA859D7A62AD}" name="Test"/>
    <tableColumn id="2" xr3:uid="{EA7356A2-0D38-5D42-A1AC-E30DC5D5C796}" name="Udeležba" dataDxfId="8">
      <calculatedColumnFormula>COUNTIF(Rezultati[Skupina], Skupine[[#This Row],[Test]])</calculatedColumnFormula>
    </tableColumn>
    <tableColumn id="3" xr3:uid="{49F9352C-9597-4E44-8122-AF1CE6CE856F}" name="2022" dataDxfId="7">
      <calculatedColumnFormula>AVERAGEIF(Rezultati[Skupina],Skupine[[#This Row],[Test]],Rezultati[Točke])</calculatedColumnFormula>
    </tableColumn>
    <tableColumn id="4" xr3:uid="{B0EFA30B-7FCE-C547-8EC0-FF89353D2666}" name="2021"/>
    <tableColumn id="5" xr3:uid="{DA75904A-F7A8-402C-B8BF-F0C9247BC8A1}" name="Minimum" dataDxfId="6">
      <calculatedColumnFormula>_xlfn.MINIFS(Rezultati[Točke],Rezultati[Skupina],Skupine[[#This Row],[Test]])</calculatedColumnFormula>
    </tableColumn>
    <tableColumn id="6" xr3:uid="{9DCCDF06-E0D7-4D4B-A170-62F661D10721}" name="Maksimum" dataDxfId="5">
      <calculatedColumnFormula>_xlfn.MAXIFS(Rezultati[Točke],Rezultati[Skupina],Skupine[[#This Row],[Test]])</calculatedColumnFormula>
    </tableColumn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isarna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B6918-BF03-4ED3-8EA4-D258E2D1FCF2}">
  <dimension ref="A3:E7"/>
  <sheetViews>
    <sheetView workbookViewId="0">
      <selection activeCell="C7" sqref="C4:C7"/>
    </sheetView>
  </sheetViews>
  <sheetFormatPr defaultRowHeight="14.4" x14ac:dyDescent="0.3"/>
  <cols>
    <col min="1" max="1" width="14.33203125" bestFit="1" customWidth="1"/>
    <col min="2" max="2" width="14.109375" bestFit="1" customWidth="1"/>
    <col min="3" max="3" width="14" bestFit="1" customWidth="1"/>
    <col min="4" max="4" width="9.21875" bestFit="1" customWidth="1"/>
    <col min="5" max="5" width="10.44140625" bestFit="1" customWidth="1"/>
    <col min="6" max="6" width="16.77734375" bestFit="1" customWidth="1"/>
  </cols>
  <sheetData>
    <row r="3" spans="1:5" x14ac:dyDescent="0.3">
      <c r="A3" s="5" t="s">
        <v>66</v>
      </c>
      <c r="B3" t="s">
        <v>70</v>
      </c>
      <c r="C3" t="s">
        <v>71</v>
      </c>
      <c r="D3" t="s">
        <v>68</v>
      </c>
      <c r="E3" t="s">
        <v>69</v>
      </c>
    </row>
    <row r="4" spans="1:5" x14ac:dyDescent="0.3">
      <c r="A4" s="6" t="s">
        <v>9</v>
      </c>
      <c r="B4" s="7">
        <v>9</v>
      </c>
      <c r="C4" s="4">
        <v>58.222222222222221</v>
      </c>
      <c r="D4" s="7">
        <v>34</v>
      </c>
      <c r="E4" s="7">
        <v>94</v>
      </c>
    </row>
    <row r="5" spans="1:5" x14ac:dyDescent="0.3">
      <c r="A5" s="6" t="s">
        <v>12</v>
      </c>
      <c r="B5" s="7">
        <v>12</v>
      </c>
      <c r="C5" s="4">
        <v>66.5</v>
      </c>
      <c r="D5" s="7">
        <v>36</v>
      </c>
      <c r="E5" s="7">
        <v>100</v>
      </c>
    </row>
    <row r="6" spans="1:5" x14ac:dyDescent="0.3">
      <c r="A6" s="6" t="s">
        <v>15</v>
      </c>
      <c r="B6" s="7">
        <v>7</v>
      </c>
      <c r="C6" s="4">
        <v>47.714285714285715</v>
      </c>
      <c r="D6" s="7">
        <v>26</v>
      </c>
      <c r="E6" s="7">
        <v>76</v>
      </c>
    </row>
    <row r="7" spans="1:5" x14ac:dyDescent="0.3">
      <c r="A7" s="6" t="s">
        <v>67</v>
      </c>
      <c r="B7" s="7">
        <v>28</v>
      </c>
      <c r="C7" s="4">
        <v>57.478835978835981</v>
      </c>
      <c r="D7" s="7">
        <v>26</v>
      </c>
      <c r="E7" s="7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30"/>
  <sheetViews>
    <sheetView tabSelected="1" workbookViewId="0">
      <selection activeCell="D15" sqref="D15"/>
    </sheetView>
  </sheetViews>
  <sheetFormatPr defaultColWidth="8.77734375" defaultRowHeight="14.4" x14ac:dyDescent="0.3"/>
  <cols>
    <col min="1" max="1" width="4.44140625" customWidth="1"/>
    <col min="2" max="2" width="10" bestFit="1" customWidth="1"/>
    <col min="3" max="3" width="9.33203125" bestFit="1" customWidth="1"/>
    <col min="4" max="4" width="9.6640625" bestFit="1" customWidth="1"/>
    <col min="5" max="5" width="8.109375" bestFit="1" customWidth="1"/>
    <col min="6" max="6" width="9.109375" bestFit="1" customWidth="1"/>
    <col min="7" max="7" width="9.109375" customWidth="1"/>
    <col min="8" max="8" width="6.77734375" bestFit="1" customWidth="1"/>
    <col min="9" max="9" width="10.77734375" bestFit="1" customWidth="1"/>
    <col min="10" max="10" width="11.44140625" bestFit="1" customWidth="1"/>
    <col min="11" max="12" width="7.6640625" bestFit="1" customWidth="1"/>
  </cols>
  <sheetData>
    <row r="2" spans="2:17" ht="15" thickBot="1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5</v>
      </c>
      <c r="I2" t="s">
        <v>6</v>
      </c>
      <c r="J2" t="s">
        <v>65</v>
      </c>
      <c r="K2" t="s">
        <v>64</v>
      </c>
      <c r="L2" t="s">
        <v>68</v>
      </c>
      <c r="M2" t="s">
        <v>69</v>
      </c>
      <c r="O2" s="1" t="s">
        <v>5</v>
      </c>
      <c r="P2" s="1" t="s">
        <v>65</v>
      </c>
      <c r="Q2" s="1" t="s">
        <v>64</v>
      </c>
    </row>
    <row r="3" spans="2:17" x14ac:dyDescent="0.3">
      <c r="B3" t="s">
        <v>62</v>
      </c>
      <c r="C3" t="s">
        <v>63</v>
      </c>
      <c r="D3" t="s">
        <v>12</v>
      </c>
      <c r="E3">
        <v>38</v>
      </c>
      <c r="F3" t="str">
        <f>IF(Rezultati[[#This Row],[Točke]]&gt;=50,"DA","NE")</f>
        <v>NE</v>
      </c>
      <c r="H3" t="s">
        <v>9</v>
      </c>
      <c r="I3">
        <f>COUNTIF(Rezultati[Skupina], Skupine[[#This Row],[Test]])</f>
        <v>9</v>
      </c>
      <c r="J3" s="4">
        <f>AVERAGEIF(Rezultati[Skupina],Skupine[[#This Row],[Test]],Rezultati[Točke])</f>
        <v>58.222222222222221</v>
      </c>
      <c r="K3">
        <v>66.84</v>
      </c>
      <c r="L3">
        <f>_xlfn.MINIFS(Rezultati[Točke],Rezultati[Skupina],Skupine[[#This Row],[Test]])</f>
        <v>34</v>
      </c>
      <c r="M3">
        <f>_xlfn.MAXIFS(Rezultati[Točke],Rezultati[Skupina],Skupine[[#This Row],[Test]])</f>
        <v>94</v>
      </c>
      <c r="O3" s="2" t="s">
        <v>9</v>
      </c>
      <c r="P3" s="8">
        <f>AVERAGEIF(Rezultati[Skupina],Skupine[[#This Row],[Test]],Rezultati[Točke])</f>
        <v>58.222222222222221</v>
      </c>
      <c r="Q3" s="2">
        <v>66.84</v>
      </c>
    </row>
    <row r="4" spans="2:17" x14ac:dyDescent="0.3">
      <c r="B4" t="s">
        <v>34</v>
      </c>
      <c r="C4" t="s">
        <v>35</v>
      </c>
      <c r="D4" t="s">
        <v>12</v>
      </c>
      <c r="E4">
        <v>39</v>
      </c>
      <c r="F4" t="str">
        <f>IF(Rezultati[[#This Row],[Točke]]&gt;=50,"DA","NE")</f>
        <v>NE</v>
      </c>
      <c r="H4" t="s">
        <v>12</v>
      </c>
      <c r="I4">
        <f>COUNTIF(Rezultati[Skupina], Skupine[[#This Row],[Test]])</f>
        <v>12</v>
      </c>
      <c r="J4" s="4">
        <f>AVERAGEIF(Rezultati[Skupina],Skupine[[#This Row],[Test]],Rezultati[Točke])</f>
        <v>66.5</v>
      </c>
      <c r="K4">
        <v>52.35</v>
      </c>
      <c r="L4">
        <f>_xlfn.MINIFS(Rezultati[Točke],Rezultati[Skupina],Skupine[[#This Row],[Test]])</f>
        <v>36</v>
      </c>
      <c r="M4">
        <f>_xlfn.MAXIFS(Rezultati[Točke],Rezultati[Skupina],Skupine[[#This Row],[Test]])</f>
        <v>100</v>
      </c>
      <c r="O4" s="3" t="s">
        <v>12</v>
      </c>
      <c r="P4" s="9">
        <f>AVERAGEIF(Rezultati[Skupina],Skupine[[#This Row],[Test]],Rezultati[Točke])</f>
        <v>66.5</v>
      </c>
      <c r="Q4" s="3">
        <v>52.35</v>
      </c>
    </row>
    <row r="5" spans="2:17" x14ac:dyDescent="0.3">
      <c r="B5" t="s">
        <v>7</v>
      </c>
      <c r="C5" t="s">
        <v>36</v>
      </c>
      <c r="D5" t="s">
        <v>12</v>
      </c>
      <c r="E5">
        <v>36</v>
      </c>
      <c r="F5" t="str">
        <f>IF(Rezultati[[#This Row],[Točke]]&gt;=50,"DA","NE")</f>
        <v>NE</v>
      </c>
      <c r="H5" t="s">
        <v>15</v>
      </c>
      <c r="I5">
        <f>COUNTIF(Rezultati[Skupina], Skupine[[#This Row],[Test]])</f>
        <v>7</v>
      </c>
      <c r="J5" s="4">
        <f>AVERAGEIF(Rezultati[Skupina],Skupine[[#This Row],[Test]],Rezultati[Točke])</f>
        <v>47.714285714285715</v>
      </c>
      <c r="K5">
        <v>49.66</v>
      </c>
      <c r="L5">
        <f>_xlfn.MINIFS(Rezultati[Točke],Rezultati[Skupina],Skupine[[#This Row],[Test]])</f>
        <v>26</v>
      </c>
      <c r="M5">
        <f>_xlfn.MAXIFS(Rezultati[Točke],Rezultati[Skupina],Skupine[[#This Row],[Test]])</f>
        <v>76</v>
      </c>
      <c r="O5" s="2" t="s">
        <v>15</v>
      </c>
      <c r="P5" s="8">
        <f>AVERAGEIF(Rezultati[Skupina],Skupine[[#This Row],[Test]],Rezultati[Točke])</f>
        <v>47.714285714285715</v>
      </c>
      <c r="Q5" s="2">
        <v>49.66</v>
      </c>
    </row>
    <row r="6" spans="2:17" x14ac:dyDescent="0.3">
      <c r="B6" t="s">
        <v>7</v>
      </c>
      <c r="C6" t="s">
        <v>8</v>
      </c>
      <c r="D6" t="s">
        <v>9</v>
      </c>
      <c r="E6">
        <v>93</v>
      </c>
      <c r="F6" t="str">
        <f>IF(Rezultati[[#This Row],[Točke]]&gt;=50,"DA","NE")</f>
        <v>DA</v>
      </c>
    </row>
    <row r="7" spans="2:17" x14ac:dyDescent="0.3">
      <c r="B7" t="s">
        <v>37</v>
      </c>
      <c r="C7" t="s">
        <v>38</v>
      </c>
      <c r="D7" t="s">
        <v>9</v>
      </c>
      <c r="E7">
        <v>77</v>
      </c>
      <c r="F7" t="str">
        <f>IF(Rezultati[[#This Row],[Točke]]&gt;=50,"DA","NE")</f>
        <v>DA</v>
      </c>
    </row>
    <row r="8" spans="2:17" x14ac:dyDescent="0.3">
      <c r="B8" t="s">
        <v>39</v>
      </c>
      <c r="C8" t="s">
        <v>40</v>
      </c>
      <c r="D8" t="s">
        <v>12</v>
      </c>
      <c r="E8">
        <v>100</v>
      </c>
      <c r="F8" t="str">
        <f>IF(Rezultati[[#This Row],[Točke]]&gt;=50,"DA","NE")</f>
        <v>DA</v>
      </c>
    </row>
    <row r="9" spans="2:17" x14ac:dyDescent="0.3">
      <c r="B9" t="s">
        <v>10</v>
      </c>
      <c r="C9" t="s">
        <v>11</v>
      </c>
      <c r="D9" t="s">
        <v>9</v>
      </c>
      <c r="E9">
        <v>94</v>
      </c>
      <c r="F9" t="str">
        <f>IF(Rezultati[[#This Row],[Točke]]&gt;=50,"DA","NE")</f>
        <v>DA</v>
      </c>
    </row>
    <row r="10" spans="2:17" x14ac:dyDescent="0.3">
      <c r="B10" t="s">
        <v>41</v>
      </c>
      <c r="C10" t="s">
        <v>42</v>
      </c>
      <c r="D10" t="s">
        <v>15</v>
      </c>
      <c r="E10">
        <v>26</v>
      </c>
      <c r="F10" t="str">
        <f>IF(Rezultati[[#This Row],[Točke]]&gt;=50,"DA","NE")</f>
        <v>NE</v>
      </c>
    </row>
    <row r="11" spans="2:17" x14ac:dyDescent="0.3">
      <c r="B11" t="s">
        <v>13</v>
      </c>
      <c r="C11" t="s">
        <v>14</v>
      </c>
      <c r="D11" t="s">
        <v>12</v>
      </c>
      <c r="E11">
        <v>44</v>
      </c>
      <c r="F11" t="str">
        <f>IF(Rezultati[[#This Row],[Točke]]&gt;=50,"DA","NE")</f>
        <v>NE</v>
      </c>
    </row>
    <row r="12" spans="2:17" x14ac:dyDescent="0.3">
      <c r="B12" t="s">
        <v>16</v>
      </c>
      <c r="C12" t="s">
        <v>17</v>
      </c>
      <c r="D12" t="s">
        <v>15</v>
      </c>
      <c r="E12">
        <v>34</v>
      </c>
      <c r="F12" t="str">
        <f>IF(Rezultati[[#This Row],[Točke]]&gt;=50,"DA","NE")</f>
        <v>NE</v>
      </c>
    </row>
    <row r="13" spans="2:17" x14ac:dyDescent="0.3">
      <c r="B13" t="s">
        <v>43</v>
      </c>
      <c r="C13" t="s">
        <v>44</v>
      </c>
      <c r="D13" t="s">
        <v>12</v>
      </c>
      <c r="E13">
        <v>86</v>
      </c>
      <c r="F13" t="str">
        <f>IF(Rezultati[[#This Row],[Točke]]&gt;=50,"DA","NE")</f>
        <v>DA</v>
      </c>
    </row>
    <row r="14" spans="2:17" x14ac:dyDescent="0.3">
      <c r="B14" t="s">
        <v>45</v>
      </c>
      <c r="C14" t="s">
        <v>46</v>
      </c>
      <c r="D14" t="s">
        <v>12</v>
      </c>
      <c r="E14">
        <v>90</v>
      </c>
      <c r="F14" t="str">
        <f>IF(Rezultati[[#This Row],[Točke]]&gt;=50,"DA","NE")</f>
        <v>DA</v>
      </c>
    </row>
    <row r="15" spans="2:17" x14ac:dyDescent="0.3">
      <c r="B15" t="s">
        <v>18</v>
      </c>
      <c r="C15" t="s">
        <v>19</v>
      </c>
      <c r="D15" t="s">
        <v>12</v>
      </c>
      <c r="E15">
        <v>67</v>
      </c>
      <c r="F15" t="str">
        <f>IF(Rezultati[[#This Row],[Točke]]&gt;=50,"DA","NE")</f>
        <v>DA</v>
      </c>
    </row>
    <row r="16" spans="2:17" x14ac:dyDescent="0.3">
      <c r="B16" t="s">
        <v>20</v>
      </c>
      <c r="C16" t="s">
        <v>21</v>
      </c>
      <c r="D16" t="s">
        <v>9</v>
      </c>
      <c r="E16">
        <v>42</v>
      </c>
      <c r="F16" t="str">
        <f>IF(Rezultati[[#This Row],[Točke]]&gt;=50,"DA","NE")</f>
        <v>NE</v>
      </c>
    </row>
    <row r="17" spans="2:6" x14ac:dyDescent="0.3">
      <c r="B17" t="s">
        <v>47</v>
      </c>
      <c r="C17" t="s">
        <v>48</v>
      </c>
      <c r="D17" t="s">
        <v>15</v>
      </c>
      <c r="E17">
        <v>44</v>
      </c>
      <c r="F17" t="str">
        <f>IF(Rezultati[[#This Row],[Točke]]&gt;=50,"DA","NE")</f>
        <v>NE</v>
      </c>
    </row>
    <row r="18" spans="2:6" x14ac:dyDescent="0.3">
      <c r="B18" t="s">
        <v>22</v>
      </c>
      <c r="C18" t="s">
        <v>23</v>
      </c>
      <c r="D18" t="s">
        <v>12</v>
      </c>
      <c r="E18">
        <v>64</v>
      </c>
      <c r="F18" t="str">
        <f>IF(Rezultati[[#This Row],[Točke]]&gt;=50,"DA","NE")</f>
        <v>DA</v>
      </c>
    </row>
    <row r="19" spans="2:6" x14ac:dyDescent="0.3">
      <c r="B19" t="s">
        <v>24</v>
      </c>
      <c r="C19" t="s">
        <v>25</v>
      </c>
      <c r="D19" t="s">
        <v>15</v>
      </c>
      <c r="E19">
        <v>30</v>
      </c>
      <c r="F19" t="str">
        <f>IF(Rezultati[[#This Row],[Točke]]&gt;=50,"DA","NE")</f>
        <v>NE</v>
      </c>
    </row>
    <row r="20" spans="2:6" x14ac:dyDescent="0.3">
      <c r="B20" t="s">
        <v>49</v>
      </c>
      <c r="C20" t="s">
        <v>29</v>
      </c>
      <c r="D20" t="s">
        <v>9</v>
      </c>
      <c r="E20">
        <v>57</v>
      </c>
      <c r="F20" t="str">
        <f>IF(Rezultati[[#This Row],[Točke]]&gt;=50,"DA","NE")</f>
        <v>DA</v>
      </c>
    </row>
    <row r="21" spans="2:6" x14ac:dyDescent="0.3">
      <c r="B21" t="s">
        <v>50</v>
      </c>
      <c r="C21" t="s">
        <v>51</v>
      </c>
      <c r="D21" t="s">
        <v>9</v>
      </c>
      <c r="E21">
        <v>43</v>
      </c>
      <c r="F21" t="str">
        <f>IF(Rezultati[[#This Row],[Točke]]&gt;=50,"DA","NE")</f>
        <v>NE</v>
      </c>
    </row>
    <row r="22" spans="2:6" x14ac:dyDescent="0.3">
      <c r="B22" t="s">
        <v>60</v>
      </c>
      <c r="C22" t="s">
        <v>61</v>
      </c>
      <c r="D22" t="s">
        <v>9</v>
      </c>
      <c r="E22">
        <v>38</v>
      </c>
      <c r="F22" t="str">
        <f>IF(Rezultati[[#This Row],[Točke]]&gt;=50,"DA","NE")</f>
        <v>NE</v>
      </c>
    </row>
    <row r="23" spans="2:6" x14ac:dyDescent="0.3">
      <c r="B23" t="s">
        <v>52</v>
      </c>
      <c r="C23" t="s">
        <v>53</v>
      </c>
      <c r="D23" t="s">
        <v>12</v>
      </c>
      <c r="E23">
        <v>85</v>
      </c>
      <c r="F23" t="str">
        <f>IF(Rezultati[[#This Row],[Točke]]&gt;=50,"DA","NE")</f>
        <v>DA</v>
      </c>
    </row>
    <row r="24" spans="2:6" x14ac:dyDescent="0.3">
      <c r="B24" t="s">
        <v>54</v>
      </c>
      <c r="C24" t="s">
        <v>55</v>
      </c>
      <c r="D24" t="s">
        <v>15</v>
      </c>
      <c r="E24">
        <v>76</v>
      </c>
      <c r="F24" t="str">
        <f>IF(Rezultati[[#This Row],[Točke]]&gt;=50,"DA","NE")</f>
        <v>DA</v>
      </c>
    </row>
    <row r="25" spans="2:6" x14ac:dyDescent="0.3">
      <c r="B25" t="s">
        <v>56</v>
      </c>
      <c r="C25" t="s">
        <v>57</v>
      </c>
      <c r="D25" t="s">
        <v>9</v>
      </c>
      <c r="E25">
        <v>34</v>
      </c>
      <c r="F25" t="str">
        <f>IF(Rezultati[[#This Row],[Točke]]&gt;=50,"DA","NE")</f>
        <v>NE</v>
      </c>
    </row>
    <row r="26" spans="2:6" x14ac:dyDescent="0.3">
      <c r="B26" t="s">
        <v>58</v>
      </c>
      <c r="C26" t="s">
        <v>59</v>
      </c>
      <c r="D26" t="s">
        <v>12</v>
      </c>
      <c r="E26">
        <v>79</v>
      </c>
      <c r="F26" t="str">
        <f>IF(Rezultati[[#This Row],[Točke]]&gt;=50,"DA","NE")</f>
        <v>DA</v>
      </c>
    </row>
    <row r="27" spans="2:6" x14ac:dyDescent="0.3">
      <c r="B27" t="s">
        <v>26</v>
      </c>
      <c r="C27" t="s">
        <v>27</v>
      </c>
      <c r="D27" t="s">
        <v>12</v>
      </c>
      <c r="E27">
        <v>70</v>
      </c>
      <c r="F27" t="str">
        <f>IF(Rezultati[[#This Row],[Točke]]&gt;=50,"DA","NE")</f>
        <v>DA</v>
      </c>
    </row>
    <row r="28" spans="2:6" x14ac:dyDescent="0.3">
      <c r="B28" t="s">
        <v>30</v>
      </c>
      <c r="C28" t="s">
        <v>31</v>
      </c>
      <c r="D28" t="s">
        <v>15</v>
      </c>
      <c r="E28">
        <v>66</v>
      </c>
      <c r="F28" t="str">
        <f>IF(Rezultati[[#This Row],[Točke]]&gt;=50,"DA","NE")</f>
        <v>DA</v>
      </c>
    </row>
    <row r="29" spans="2:6" x14ac:dyDescent="0.3">
      <c r="B29" t="s">
        <v>28</v>
      </c>
      <c r="C29" t="s">
        <v>29</v>
      </c>
      <c r="D29" t="s">
        <v>15</v>
      </c>
      <c r="E29">
        <v>58</v>
      </c>
      <c r="F29" t="str">
        <f>IF(Rezultati[[#This Row],[Točke]]&gt;=50,"DA","NE")</f>
        <v>DA</v>
      </c>
    </row>
    <row r="30" spans="2:6" x14ac:dyDescent="0.3">
      <c r="B30" t="s">
        <v>32</v>
      </c>
      <c r="C30" t="s">
        <v>33</v>
      </c>
      <c r="D30" t="s">
        <v>9</v>
      </c>
      <c r="E30">
        <v>46</v>
      </c>
      <c r="F30" t="str">
        <f>IF(Rezultati[[#This Row],[Točke]]&gt;=50,"DA","NE")</f>
        <v>NE</v>
      </c>
    </row>
  </sheetData>
  <conditionalFormatting sqref="E3:E30">
    <cfRule type="cellIs" dxfId="3" priority="2" operator="lessThan">
      <formula>50</formula>
    </cfRule>
  </conditionalFormatting>
  <conditionalFormatting sqref="B3:C30">
    <cfRule type="expression" dxfId="0" priority="1">
      <formula>$E3&lt;50</formula>
    </cfRule>
  </conditionalFormatting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2</vt:i4>
      </vt:variant>
    </vt:vector>
  </HeadingPairs>
  <TitlesOfParts>
    <vt:vector size="2" baseType="lpstr">
      <vt:lpstr>List4</vt:lpstr>
      <vt:lpstr>Rezultati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Nika</cp:lastModifiedBy>
  <dcterms:created xsi:type="dcterms:W3CDTF">2007-11-10T02:36:44Z</dcterms:created>
  <dcterms:modified xsi:type="dcterms:W3CDTF">2025-12-29T16:58:13Z</dcterms:modified>
</cp:coreProperties>
</file>